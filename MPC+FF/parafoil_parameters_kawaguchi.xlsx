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oop\MATLAB Drive\senior_thesis_MAR\MPC+FF\"/>
    </mc:Choice>
  </mc:AlternateContent>
  <xr:revisionPtr revIDLastSave="0" documentId="13_ncr:1_{852346EB-C16E-4BC1-9A77-2A94436DDF81}" xr6:coauthVersionLast="47" xr6:coauthVersionMax="47" xr10:uidLastSave="{00000000-0000-0000-0000-000000000000}"/>
  <bookViews>
    <workbookView xWindow="-110" yWindow="-110" windowWidth="21820" windowHeight="13900" activeTab="3" xr2:uid="{00000000-000D-0000-FFFF-FFFF00000000}"/>
  </bookViews>
  <sheets>
    <sheet name="Aircraft_Model" sheetId="1" r:id="rId1"/>
    <sheet name="Payload_Model" sheetId="2" r:id="rId2"/>
    <sheet name="Aero_Coeffs" sheetId="3" r:id="rId3"/>
    <sheet name="Simulation_Settings" sheetId="4" r:id="rId4"/>
    <sheet name="Inertia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28" i="4"/>
</calcChain>
</file>

<file path=xl/sharedStrings.xml><?xml version="1.0" encoding="utf-8"?>
<sst xmlns="http://schemas.openxmlformats.org/spreadsheetml/2006/main" count="187" uniqueCount="141">
  <si>
    <t>Parameter</t>
  </si>
  <si>
    <t>Value</t>
  </si>
  <si>
    <t>Unit</t>
  </si>
  <si>
    <t>Description</t>
  </si>
  <si>
    <t>M_canopy</t>
  </si>
  <si>
    <t>kg</t>
  </si>
  <si>
    <t>キャノピーの質量</t>
  </si>
  <si>
    <t>g</t>
  </si>
  <si>
    <t>m/s^2</t>
  </si>
  <si>
    <t>重力加速度</t>
  </si>
  <si>
    <t>S_c</t>
  </si>
  <si>
    <t>m^2</t>
  </si>
  <si>
    <t>キャノピーの基準面積 (旧 S_p)</t>
  </si>
  <si>
    <t>b</t>
  </si>
  <si>
    <t>m</t>
  </si>
  <si>
    <t>キャノピーのスパン</t>
  </si>
  <si>
    <t>c</t>
  </si>
  <si>
    <t>キャノピーの平均コード</t>
  </si>
  <si>
    <t>rho_sea_level</t>
  </si>
  <si>
    <t>kg/m^3</t>
  </si>
  <si>
    <t>海面高度での空気密度 (初期値)</t>
  </si>
  <si>
    <t>r_total_cm_to_canopy_origin_B_X</t>
  </si>
  <si>
    <t>(全体CG -&gt; キャノピー原点) X軸</t>
  </si>
  <si>
    <t>r_total_cm_to_canopy_origin_B_Z</t>
  </si>
  <si>
    <t>(全体CG -&gt; キャノピー原点) Z軸</t>
  </si>
  <si>
    <t>r_canopy_origin_to_ac_B_X</t>
  </si>
  <si>
    <t>(キャノピー原点 -&gt; 空力中心) X軸</t>
  </si>
  <si>
    <t>r_canopy_origin_to_ac_B_Z</t>
  </si>
  <si>
    <t>(キャノピー原点 -&gt; 空力中心) Z軸</t>
  </si>
  <si>
    <t>C_L_0</t>
  </si>
  <si>
    <t>-</t>
  </si>
  <si>
    <t>揚力係数 (ゼロ迎角)</t>
  </si>
  <si>
    <t>C_L_alpha</t>
  </si>
  <si>
    <t>/rad</t>
  </si>
  <si>
    <t>揚力係数 (迎角依存)</t>
  </si>
  <si>
    <t>C_L_delta_s</t>
  </si>
  <si>
    <t>揚力係数 (シンメトリック入力)</t>
  </si>
  <si>
    <t>C_D_0</t>
  </si>
  <si>
    <t>抗力係数 (ゼロ迎力)</t>
  </si>
  <si>
    <t>C_D_alpha</t>
  </si>
  <si>
    <t>/rad^2</t>
  </si>
  <si>
    <t>抗力係数 (迎角二乗依存)</t>
  </si>
  <si>
    <t>C_D_delta_s</t>
  </si>
  <si>
    <t>抗力係数 (フラップ依存)</t>
  </si>
  <si>
    <t>C_m_0</t>
  </si>
  <si>
    <t>ピッチングモーメント係数 (ゼロ迎角)</t>
  </si>
  <si>
    <t>M_payload</t>
  </si>
  <si>
    <t>ペイロードの質量</t>
  </si>
  <si>
    <t>S_p</t>
  </si>
  <si>
    <t>ペイロードの基準面積 (旧 S_s)</t>
  </si>
  <si>
    <t>C_D_s</t>
  </si>
  <si>
    <t>ペイロードの抗力係数</t>
  </si>
  <si>
    <t>delta_x_pay</t>
  </si>
  <si>
    <t>ペイロードCG X座標 (r_total_cm_to_payload_cm_B X)</t>
  </si>
  <si>
    <t>delta_y_pay</t>
  </si>
  <si>
    <t>ペイロードCG Y座標 (r_total_cm_to_payload_cm_B Y)</t>
  </si>
  <si>
    <t>delta_z_pay</t>
  </si>
  <si>
    <t>ペイロードCG Z座標 (r_total_cm_to_payload_cm_B Z)</t>
  </si>
  <si>
    <t>h_init</t>
  </si>
  <si>
    <t>初期高度 (釣合い計算用)</t>
  </si>
  <si>
    <t>delta_s_init</t>
  </si>
  <si>
    <t>初期ブレーキ入力 (釣合い計算用)</t>
  </si>
  <si>
    <t>t_max</t>
  </si>
  <si>
    <t>s</t>
  </si>
  <si>
    <t>最大シミュレーション時間</t>
  </si>
  <si>
    <t>h_step</t>
  </si>
  <si>
    <t>シミュレーションの時間刻み幅</t>
  </si>
  <si>
    <t>string</t>
  </si>
  <si>
    <t>制御モード (WithFF or WithoutFF)</t>
  </si>
  <si>
    <t>バンク角(sigma)の時定数</t>
  </si>
  <si>
    <t>tau_delta_s</t>
  </si>
  <si>
    <t>対称ブレーキ(delta_s)の時定数</t>
  </si>
  <si>
    <t>turn_start_time</t>
  </si>
  <si>
    <t>旋回開始時間</t>
  </si>
  <si>
    <t>turn_end_time</t>
  </si>
  <si>
    <t>旋回終了時間</t>
  </si>
  <si>
    <t>max_bank_deg</t>
  </si>
  <si>
    <t>deg</t>
  </si>
  <si>
    <t>最大バンク角 (FFリミッター)</t>
  </si>
  <si>
    <t>brake_start_time</t>
  </si>
  <si>
    <t>ブレーキ開始時間</t>
  </si>
  <si>
    <t>ブレーキ入力 [0-1]</t>
  </si>
  <si>
    <t>con_type</t>
  </si>
  <si>
    <t>deg</t>
    <phoneticPr fontId="1"/>
  </si>
  <si>
    <t>リギング角</t>
    <rPh sb="4" eb="5">
      <t>カク</t>
    </rPh>
    <phoneticPr fontId="1"/>
  </si>
  <si>
    <t>ang_psi_rigging</t>
  </si>
  <si>
    <t>C_m_alpha</t>
    <phoneticPr fontId="1"/>
  </si>
  <si>
    <t>/rad</t>
    <phoneticPr fontId="1"/>
  </si>
  <si>
    <t>ピッチングモーメント係数 (迎角依存)</t>
    <rPh sb="14" eb="18">
      <t>ゲイカクイゾン</t>
    </rPh>
    <phoneticPr fontId="1"/>
  </si>
  <si>
    <t>d</t>
    <phoneticPr fontId="1"/>
  </si>
  <si>
    <t>m</t>
    <phoneticPr fontId="1"/>
  </si>
  <si>
    <t>回転中心</t>
    <rPh sb="0" eb="4">
      <t>カイテンチュウシン</t>
    </rPh>
    <phoneticPr fontId="1"/>
  </si>
  <si>
    <t>Cl_phi</t>
    <phoneticPr fontId="1"/>
  </si>
  <si>
    <t>Cl_p</t>
    <phoneticPr fontId="1"/>
  </si>
  <si>
    <t>Cl_delta_a</t>
    <phoneticPr fontId="1"/>
  </si>
  <si>
    <t>Cn_r</t>
    <phoneticPr fontId="1"/>
  </si>
  <si>
    <t>Cn_delta_a</t>
    <phoneticPr fontId="1"/>
  </si>
  <si>
    <t>X_initial</t>
  </si>
  <si>
    <t>Y_initial</t>
    <phoneticPr fontId="1"/>
  </si>
  <si>
    <t>psi_initial_deg</t>
    <phoneticPr fontId="1"/>
  </si>
  <si>
    <t>V_init_guess</t>
    <phoneticPr fontId="1"/>
  </si>
  <si>
    <t>m/s</t>
    <phoneticPr fontId="1"/>
  </si>
  <si>
    <t>速度の推定値</t>
    <rPh sb="0" eb="2">
      <t>ソクド</t>
    </rPh>
    <rPh sb="3" eb="6">
      <t>スイテイチ</t>
    </rPh>
    <phoneticPr fontId="1"/>
  </si>
  <si>
    <t>delta_a_init</t>
    <phoneticPr fontId="1"/>
  </si>
  <si>
    <t>tau_delta_a</t>
    <phoneticPr fontId="1"/>
  </si>
  <si>
    <t>target_delta_a</t>
    <phoneticPr fontId="1"/>
  </si>
  <si>
    <t>-</t>
    <phoneticPr fontId="1"/>
  </si>
  <si>
    <t>目標δa(正だと右ブレーキ→左旋回)</t>
    <rPh sb="5" eb="6">
      <t>セイ</t>
    </rPh>
    <rPh sb="8" eb="9">
      <t>ミギ</t>
    </rPh>
    <rPh sb="14" eb="15">
      <t>ヒダリ</t>
    </rPh>
    <rPh sb="15" eb="17">
      <t>センカイ</t>
    </rPh>
    <phoneticPr fontId="1"/>
  </si>
  <si>
    <t>delta_a_min</t>
    <phoneticPr fontId="1"/>
  </si>
  <si>
    <t>δaの最小値</t>
    <rPh sb="3" eb="6">
      <t>サイショウチ</t>
    </rPh>
    <phoneticPr fontId="1"/>
  </si>
  <si>
    <t>delta_a_max</t>
  </si>
  <si>
    <t>δaの最大値</t>
    <rPh sb="3" eb="6">
      <t>サイダイチ</t>
    </rPh>
    <phoneticPr fontId="1"/>
  </si>
  <si>
    <t>brake_end_time</t>
    <phoneticPr fontId="1"/>
  </si>
  <si>
    <t>ブレーキ終了時間</t>
    <rPh sb="4" eb="6">
      <t>シュウリョウ</t>
    </rPh>
    <phoneticPr fontId="1"/>
  </si>
  <si>
    <t>target_delta_s</t>
    <phoneticPr fontId="1"/>
  </si>
  <si>
    <t>delta_s_min</t>
    <phoneticPr fontId="1"/>
  </si>
  <si>
    <t>δsの最小値</t>
    <rPh sb="3" eb="6">
      <t>サイショウチ</t>
    </rPh>
    <phoneticPr fontId="1"/>
  </si>
  <si>
    <t>delta_s_max</t>
    <phoneticPr fontId="1"/>
  </si>
  <si>
    <t>δsの最大値</t>
    <rPh sb="3" eb="6">
      <t>サイダイチ</t>
    </rPh>
    <phoneticPr fontId="1"/>
  </si>
  <si>
    <t>tau_mu</t>
    <phoneticPr fontId="1"/>
  </si>
  <si>
    <t>mu_min_deg</t>
    <phoneticPr fontId="1"/>
  </si>
  <si>
    <t>mu_max_deg</t>
    <phoneticPr fontId="1"/>
  </si>
  <si>
    <t>target_mu_deg</t>
    <phoneticPr fontId="1"/>
  </si>
  <si>
    <t>C_L_delta_a</t>
    <phoneticPr fontId="1"/>
  </si>
  <si>
    <t>C_D_delta_a</t>
    <phoneticPr fontId="1"/>
  </si>
  <si>
    <t>WithoutFF</t>
    <phoneticPr fontId="1"/>
  </si>
  <si>
    <t>C_Y_beta</t>
  </si>
  <si>
    <t>横力係数 (対 横滑り角 beta)</t>
  </si>
  <si>
    <t>ロールモーメント係数 (対 バンク角 phi) ※本来は C_l_beta ですがコードに合わせて</t>
  </si>
  <si>
    <t>ロール減衰係数</t>
  </si>
  <si>
    <t>C_m_q</t>
  </si>
  <si>
    <t>ピッチ減衰係数</t>
  </si>
  <si>
    <t>ヨー操舵効き</t>
  </si>
  <si>
    <t>I_xx</t>
  </si>
  <si>
    <t>全体の慣性モーメント XX [kg m^2]</t>
  </si>
  <si>
    <t>I_yy</t>
  </si>
  <si>
    <t>全体の慣性モーメント YY [kg m^2]</t>
  </si>
  <si>
    <t>I_zz</t>
  </si>
  <si>
    <t>全体の慣性モーメント ZZ [kg m^2]</t>
  </si>
  <si>
    <t>I_xz</t>
  </si>
  <si>
    <t>全体の慣性乗積 XZ [kg m^2]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</si>
</sst>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rgb="FFA709F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uta\MATLAB%20Drive\&#23567;&#31520;&#21407;&#30740;_&#31354;&#20013;&#22238;&#21454;\&#31354;&#20013;&#22238;&#21454;_&#28961;&#39080;_&#12497;&#12521;&#12398;&#12415;_&#948;a&#12392;&#948;s&#12391;&#21046;&#24481;\parafoil_parameters_3DoF_ref.xlsx" TargetMode="External"/><Relationship Id="rId1" Type="http://schemas.openxmlformats.org/officeDocument/2006/relationships/externalLinkPath" Target="/Users/yuta/MATLAB%20Drive/&#23567;&#31520;&#21407;&#30740;_&#31354;&#20013;&#22238;&#21454;/&#32076;&#36335;&#35336;&#30011;&#29992;&#12514;&#12487;&#12523;/parafoil_parameters_3DoF_re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ircraft_Model"/>
      <sheetName val="Aircraft_Model_origin"/>
      <sheetName val="Payload_Model"/>
      <sheetName val="Aero_Coeffs"/>
      <sheetName val="Simulation_Settings"/>
    </sheetNames>
    <sheetDataSet>
      <sheetData sheetId="0">
        <row r="12">
          <cell r="B12">
            <v>7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sqref="A1:E1"/>
    </sheetView>
  </sheetViews>
  <sheetFormatPr defaultRowHeight="18"/>
  <cols>
    <col min="1" max="1" width="30.832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299.83600000000001</v>
      </c>
      <c r="C2" t="s">
        <v>5</v>
      </c>
      <c r="D2" t="s">
        <v>6</v>
      </c>
    </row>
    <row r="3" spans="1:4">
      <c r="A3" t="s">
        <v>7</v>
      </c>
      <c r="B3">
        <v>9.8070000000000004</v>
      </c>
      <c r="C3" t="s">
        <v>8</v>
      </c>
      <c r="D3" t="s">
        <v>9</v>
      </c>
    </row>
    <row r="4" spans="1:4">
      <c r="A4" t="s">
        <v>10</v>
      </c>
      <c r="B4">
        <v>338</v>
      </c>
      <c r="C4" t="s">
        <v>11</v>
      </c>
      <c r="D4" t="s">
        <v>12</v>
      </c>
    </row>
    <row r="5" spans="1:4">
      <c r="A5" t="s">
        <v>13</v>
      </c>
      <c r="B5">
        <v>26</v>
      </c>
      <c r="C5" t="s">
        <v>14</v>
      </c>
      <c r="D5" t="s">
        <v>15</v>
      </c>
    </row>
    <row r="6" spans="1:4">
      <c r="A6" t="s">
        <v>16</v>
      </c>
      <c r="B6">
        <v>13</v>
      </c>
      <c r="C6" t="s">
        <v>14</v>
      </c>
      <c r="D6" t="s">
        <v>17</v>
      </c>
    </row>
    <row r="7" spans="1:4">
      <c r="A7" t="s">
        <v>18</v>
      </c>
      <c r="B7">
        <v>1.2250000000000001</v>
      </c>
      <c r="C7" t="s">
        <v>19</v>
      </c>
      <c r="D7" t="s">
        <v>20</v>
      </c>
    </row>
    <row r="8" spans="1:4">
      <c r="A8" t="s">
        <v>21</v>
      </c>
      <c r="B8">
        <v>-5.23816451183189</v>
      </c>
      <c r="C8" t="s">
        <v>14</v>
      </c>
      <c r="D8" t="s">
        <v>22</v>
      </c>
    </row>
    <row r="9" spans="1:4">
      <c r="A9" t="s">
        <v>23</v>
      </c>
      <c r="B9">
        <v>-24.582999999999998</v>
      </c>
      <c r="C9" t="s">
        <v>14</v>
      </c>
      <c r="D9" t="s">
        <v>24</v>
      </c>
    </row>
    <row r="10" spans="1:4">
      <c r="A10" t="s">
        <v>25</v>
      </c>
      <c r="B10">
        <v>6.5</v>
      </c>
      <c r="C10" t="s">
        <v>14</v>
      </c>
      <c r="D10" t="s">
        <v>26</v>
      </c>
    </row>
    <row r="11" spans="1:4">
      <c r="A11" t="s">
        <v>27</v>
      </c>
      <c r="B11">
        <v>0</v>
      </c>
      <c r="C11" t="s">
        <v>14</v>
      </c>
      <c r="D11" t="s">
        <v>28</v>
      </c>
    </row>
    <row r="12" spans="1:4">
      <c r="A12" s="2" t="s">
        <v>85</v>
      </c>
      <c r="B12">
        <v>0</v>
      </c>
      <c r="C12" t="s">
        <v>83</v>
      </c>
      <c r="D12" t="s">
        <v>84</v>
      </c>
    </row>
    <row r="13" spans="1:4">
      <c r="A13" t="s">
        <v>89</v>
      </c>
      <c r="B13">
        <v>1</v>
      </c>
      <c r="C13" t="s">
        <v>90</v>
      </c>
      <c r="D13" t="s">
        <v>91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7E36-D186-47F3-BB36-2DFD777D2F33}">
  <dimension ref="A1:D7"/>
  <sheetViews>
    <sheetView workbookViewId="0">
      <selection activeCell="E10" sqref="E10"/>
    </sheetView>
  </sheetViews>
  <sheetFormatPr defaultRowHeight="18"/>
  <cols>
    <col min="1" max="1" width="11.0820312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t="s">
        <v>46</v>
      </c>
      <c r="B2">
        <v>5161.7349999999997</v>
      </c>
      <c r="C2" t="s">
        <v>5</v>
      </c>
      <c r="D2" t="s">
        <v>47</v>
      </c>
    </row>
    <row r="3" spans="1:4">
      <c r="A3" t="s">
        <v>48</v>
      </c>
      <c r="B3">
        <f>5.2*5.2*PI()/4</f>
        <v>21.237166338267002</v>
      </c>
      <c r="C3" t="s">
        <v>11</v>
      </c>
      <c r="D3" t="s">
        <v>49</v>
      </c>
    </row>
    <row r="4" spans="1:4">
      <c r="A4" t="s">
        <v>50</v>
      </c>
      <c r="B4">
        <v>0.85</v>
      </c>
      <c r="C4" t="s">
        <v>30</v>
      </c>
      <c r="D4" t="s">
        <v>51</v>
      </c>
    </row>
    <row r="5" spans="1:4">
      <c r="A5" t="s">
        <v>52</v>
      </c>
      <c r="B5">
        <v>0</v>
      </c>
      <c r="C5" t="s">
        <v>14</v>
      </c>
      <c r="D5" t="s">
        <v>53</v>
      </c>
    </row>
    <row r="6" spans="1:4">
      <c r="A6" t="s">
        <v>54</v>
      </c>
      <c r="B6">
        <v>0</v>
      </c>
      <c r="C6" t="s">
        <v>14</v>
      </c>
      <c r="D6" t="s">
        <v>55</v>
      </c>
    </row>
    <row r="7" spans="1:4">
      <c r="A7" t="s">
        <v>56</v>
      </c>
      <c r="B7">
        <v>1.4279999999999999</v>
      </c>
      <c r="C7" t="s">
        <v>14</v>
      </c>
      <c r="D7" t="s">
        <v>57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59E4-93E6-42BC-8666-C2D5EDC3E5C8}">
  <dimension ref="A1:D18"/>
  <sheetViews>
    <sheetView topLeftCell="A7" workbookViewId="0">
      <selection activeCell="A20" sqref="A20:D20"/>
    </sheetView>
  </sheetViews>
  <sheetFormatPr defaultRowHeight="18"/>
  <cols>
    <col min="1" max="1" width="11.83203125" bestFit="1" customWidth="1"/>
    <col min="2" max="2" width="9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29</v>
      </c>
      <c r="B2">
        <v>0.5</v>
      </c>
      <c r="C2" t="s">
        <v>30</v>
      </c>
      <c r="D2" t="s">
        <v>31</v>
      </c>
    </row>
    <row r="3" spans="1:4">
      <c r="A3" t="s">
        <v>32</v>
      </c>
      <c r="B3">
        <v>1.7190000000000001</v>
      </c>
      <c r="C3" t="s">
        <v>33</v>
      </c>
      <c r="D3" t="s">
        <v>34</v>
      </c>
    </row>
    <row r="4" spans="1:4">
      <c r="A4" t="s">
        <v>123</v>
      </c>
      <c r="B4">
        <v>1E-4</v>
      </c>
    </row>
    <row r="5" spans="1:4">
      <c r="A5" t="s">
        <v>35</v>
      </c>
      <c r="B5">
        <v>0</v>
      </c>
      <c r="C5" t="s">
        <v>33</v>
      </c>
      <c r="D5" t="s">
        <v>36</v>
      </c>
    </row>
    <row r="6" spans="1:4">
      <c r="A6" t="s">
        <v>37</v>
      </c>
      <c r="B6">
        <v>0.2</v>
      </c>
      <c r="C6" t="s">
        <v>30</v>
      </c>
      <c r="D6" t="s">
        <v>38</v>
      </c>
    </row>
    <row r="7" spans="1:4">
      <c r="A7" t="s">
        <v>39</v>
      </c>
      <c r="B7">
        <v>0.7</v>
      </c>
      <c r="C7" t="s">
        <v>40</v>
      </c>
      <c r="D7" t="s">
        <v>41</v>
      </c>
    </row>
    <row r="8" spans="1:4">
      <c r="A8" t="s">
        <v>124</v>
      </c>
      <c r="B8">
        <v>1E-4</v>
      </c>
    </row>
    <row r="9" spans="1:4">
      <c r="A9" t="s">
        <v>42</v>
      </c>
      <c r="B9">
        <v>0.57999999999999996</v>
      </c>
      <c r="C9" t="s">
        <v>33</v>
      </c>
      <c r="D9" t="s">
        <v>43</v>
      </c>
    </row>
    <row r="10" spans="1:4">
      <c r="A10" t="s">
        <v>44</v>
      </c>
      <c r="B10">
        <v>0.13969999999999999</v>
      </c>
      <c r="C10" t="s">
        <v>30</v>
      </c>
      <c r="D10" t="s">
        <v>88</v>
      </c>
    </row>
    <row r="11" spans="1:4">
      <c r="A11" t="s">
        <v>86</v>
      </c>
      <c r="B11">
        <v>-1.4308000000000001</v>
      </c>
      <c r="C11" t="s">
        <v>87</v>
      </c>
      <c r="D11" t="s">
        <v>45</v>
      </c>
    </row>
    <row r="12" spans="1:4">
      <c r="A12" t="s">
        <v>130</v>
      </c>
      <c r="B12">
        <v>-0.22520999999999999</v>
      </c>
      <c r="D12" t="s">
        <v>131</v>
      </c>
    </row>
    <row r="13" spans="1:4">
      <c r="A13" t="s">
        <v>92</v>
      </c>
      <c r="B13">
        <v>-0.04</v>
      </c>
      <c r="D13" t="s">
        <v>128</v>
      </c>
    </row>
    <row r="14" spans="1:4">
      <c r="A14" t="s">
        <v>93</v>
      </c>
      <c r="B14">
        <v>-0.08</v>
      </c>
      <c r="D14" t="s">
        <v>129</v>
      </c>
    </row>
    <row r="15" spans="1:4">
      <c r="A15" t="s">
        <v>94</v>
      </c>
      <c r="B15">
        <v>-1.0000000000000001E-5</v>
      </c>
      <c r="D15" t="s">
        <v>132</v>
      </c>
    </row>
    <row r="16" spans="1:4">
      <c r="A16" t="s">
        <v>95</v>
      </c>
      <c r="B16">
        <v>-1.2E-2</v>
      </c>
    </row>
    <row r="17" spans="1:4">
      <c r="A17" t="s">
        <v>96</v>
      </c>
      <c r="B17">
        <v>-8.0000000000000007E-5</v>
      </c>
    </row>
    <row r="18" spans="1:4">
      <c r="A18" t="s">
        <v>126</v>
      </c>
      <c r="B18">
        <v>-0.1</v>
      </c>
      <c r="D18" t="s">
        <v>127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B8125-88ED-420F-BB77-91E0D1F2F541}">
  <dimension ref="A1:D28"/>
  <sheetViews>
    <sheetView tabSelected="1" topLeftCell="A11" workbookViewId="0">
      <selection activeCell="B19" sqref="B19"/>
    </sheetView>
  </sheetViews>
  <sheetFormatPr defaultRowHeight="18"/>
  <cols>
    <col min="1" max="1" width="11.5820312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2" t="s">
        <v>97</v>
      </c>
      <c r="B2">
        <v>0</v>
      </c>
      <c r="C2" t="s">
        <v>90</v>
      </c>
    </row>
    <row r="3" spans="1:4">
      <c r="A3" s="2" t="s">
        <v>98</v>
      </c>
      <c r="B3">
        <v>0</v>
      </c>
      <c r="C3" t="s">
        <v>90</v>
      </c>
    </row>
    <row r="4" spans="1:4">
      <c r="A4" s="2" t="s">
        <v>99</v>
      </c>
      <c r="B4">
        <v>0</v>
      </c>
      <c r="C4" t="s">
        <v>83</v>
      </c>
    </row>
    <row r="5" spans="1:4">
      <c r="A5" s="2" t="s">
        <v>100</v>
      </c>
      <c r="B5">
        <v>30</v>
      </c>
      <c r="C5" t="s">
        <v>101</v>
      </c>
      <c r="D5" t="s">
        <v>102</v>
      </c>
    </row>
    <row r="6" spans="1:4">
      <c r="A6" t="s">
        <v>58</v>
      </c>
      <c r="B6">
        <v>11500</v>
      </c>
      <c r="C6" t="s">
        <v>14</v>
      </c>
      <c r="D6" t="s">
        <v>59</v>
      </c>
    </row>
    <row r="7" spans="1:4">
      <c r="A7" t="s">
        <v>103</v>
      </c>
      <c r="B7">
        <v>0</v>
      </c>
      <c r="C7" t="s">
        <v>30</v>
      </c>
      <c r="D7" t="s">
        <v>61</v>
      </c>
    </row>
    <row r="8" spans="1:4">
      <c r="A8" t="s">
        <v>60</v>
      </c>
      <c r="B8">
        <v>0</v>
      </c>
      <c r="C8" t="s">
        <v>30</v>
      </c>
      <c r="D8" t="s">
        <v>61</v>
      </c>
    </row>
    <row r="9" spans="1:4">
      <c r="A9" t="s">
        <v>62</v>
      </c>
      <c r="B9">
        <v>5000</v>
      </c>
      <c r="C9" t="s">
        <v>63</v>
      </c>
      <c r="D9" t="s">
        <v>64</v>
      </c>
    </row>
    <row r="10" spans="1:4">
      <c r="A10" t="s">
        <v>65</v>
      </c>
      <c r="B10">
        <v>0.1</v>
      </c>
      <c r="C10" t="s">
        <v>63</v>
      </c>
      <c r="D10" t="s">
        <v>66</v>
      </c>
    </row>
    <row r="11" spans="1:4">
      <c r="A11" t="s">
        <v>82</v>
      </c>
      <c r="B11" t="s">
        <v>125</v>
      </c>
      <c r="C11" t="s">
        <v>67</v>
      </c>
      <c r="D11" t="s">
        <v>68</v>
      </c>
    </row>
    <row r="12" spans="1:4">
      <c r="A12" t="s">
        <v>104</v>
      </c>
      <c r="B12">
        <v>1</v>
      </c>
      <c r="C12" t="s">
        <v>63</v>
      </c>
      <c r="D12" t="s">
        <v>69</v>
      </c>
    </row>
    <row r="13" spans="1:4">
      <c r="A13" t="s">
        <v>70</v>
      </c>
      <c r="B13">
        <v>0.2</v>
      </c>
      <c r="C13" t="s">
        <v>63</v>
      </c>
      <c r="D13" t="s">
        <v>71</v>
      </c>
    </row>
    <row r="14" spans="1:4">
      <c r="A14" t="s">
        <v>72</v>
      </c>
      <c r="B14">
        <v>50</v>
      </c>
      <c r="C14" t="s">
        <v>63</v>
      </c>
      <c r="D14" t="s">
        <v>73</v>
      </c>
    </row>
    <row r="15" spans="1:4">
      <c r="A15" t="s">
        <v>74</v>
      </c>
      <c r="B15">
        <v>1500</v>
      </c>
      <c r="C15" t="s">
        <v>63</v>
      </c>
      <c r="D15" t="s">
        <v>75</v>
      </c>
    </row>
    <row r="16" spans="1:4">
      <c r="A16" t="s">
        <v>105</v>
      </c>
      <c r="B16">
        <v>0.5</v>
      </c>
      <c r="C16" t="s">
        <v>106</v>
      </c>
      <c r="D16" t="s">
        <v>107</v>
      </c>
    </row>
    <row r="17" spans="1:4">
      <c r="A17" s="2" t="s">
        <v>108</v>
      </c>
      <c r="B17">
        <v>-1</v>
      </c>
      <c r="D17" t="s">
        <v>109</v>
      </c>
    </row>
    <row r="18" spans="1:4">
      <c r="A18" s="2" t="s">
        <v>110</v>
      </c>
      <c r="B18">
        <v>1</v>
      </c>
      <c r="D18" t="s">
        <v>111</v>
      </c>
    </row>
    <row r="19" spans="1:4">
      <c r="A19" t="s">
        <v>76</v>
      </c>
      <c r="B19">
        <v>5</v>
      </c>
      <c r="C19" t="s">
        <v>77</v>
      </c>
      <c r="D19" t="s">
        <v>78</v>
      </c>
    </row>
    <row r="20" spans="1:4">
      <c r="A20" t="s">
        <v>79</v>
      </c>
      <c r="B20">
        <v>2000</v>
      </c>
      <c r="C20" t="s">
        <v>63</v>
      </c>
      <c r="D20" t="s">
        <v>80</v>
      </c>
    </row>
    <row r="21" spans="1:4">
      <c r="A21" t="s">
        <v>112</v>
      </c>
      <c r="B21">
        <v>2500</v>
      </c>
      <c r="C21" t="s">
        <v>63</v>
      </c>
      <c r="D21" t="s">
        <v>113</v>
      </c>
    </row>
    <row r="22" spans="1:4">
      <c r="A22" t="s">
        <v>114</v>
      </c>
      <c r="B22">
        <v>0.3</v>
      </c>
      <c r="C22" t="s">
        <v>30</v>
      </c>
      <c r="D22" t="s">
        <v>81</v>
      </c>
    </row>
    <row r="23" spans="1:4">
      <c r="A23" s="2" t="s">
        <v>115</v>
      </c>
      <c r="B23">
        <v>0</v>
      </c>
      <c r="D23" t="s">
        <v>116</v>
      </c>
    </row>
    <row r="24" spans="1:4">
      <c r="A24" s="2" t="s">
        <v>117</v>
      </c>
      <c r="B24">
        <v>1</v>
      </c>
      <c r="D24" t="s">
        <v>118</v>
      </c>
    </row>
    <row r="25" spans="1:4">
      <c r="A25" t="s">
        <v>119</v>
      </c>
      <c r="B25">
        <v>0.2</v>
      </c>
    </row>
    <row r="26" spans="1:4">
      <c r="A26" t="s">
        <v>120</v>
      </c>
      <c r="B26">
        <v>-10</v>
      </c>
    </row>
    <row r="27" spans="1:4">
      <c r="A27" t="s">
        <v>121</v>
      </c>
      <c r="B27">
        <v>10</v>
      </c>
    </row>
    <row r="28" spans="1:4">
      <c r="A28" t="s">
        <v>122</v>
      </c>
      <c r="B28">
        <f>[1]Aircraft_Model!B12</f>
        <v>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D722D-E07E-49D4-A68D-C3C851B35220}">
  <dimension ref="A1:D5"/>
  <sheetViews>
    <sheetView workbookViewId="0">
      <selection activeCell="H13" sqref="H13"/>
    </sheetView>
  </sheetViews>
  <sheetFormatPr defaultRowHeight="18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133</v>
      </c>
      <c r="B2">
        <v>33000</v>
      </c>
      <c r="D2" t="s">
        <v>134</v>
      </c>
    </row>
    <row r="3" spans="1:4">
      <c r="A3" t="s">
        <v>135</v>
      </c>
      <c r="B3">
        <v>32000</v>
      </c>
      <c r="D3" t="s">
        <v>136</v>
      </c>
    </row>
    <row r="4" spans="1:4">
      <c r="A4" t="s">
        <v>137</v>
      </c>
      <c r="B4">
        <v>50000</v>
      </c>
      <c r="D4" t="s">
        <v>138</v>
      </c>
    </row>
    <row r="5" spans="1:4">
      <c r="A5" t="s">
        <v>139</v>
      </c>
      <c r="B5">
        <v>0</v>
      </c>
      <c r="D5" t="s">
        <v>140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Aircraft_Model</vt:lpstr>
      <vt:lpstr>Payload_Model</vt:lpstr>
      <vt:lpstr>Aero_Coeffs</vt:lpstr>
      <vt:lpstr>Simulation_Settings</vt:lpstr>
      <vt:lpstr>Inertia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舟木悠太</dc:creator>
  <cp:lastModifiedBy>舟木　悠太</cp:lastModifiedBy>
  <dcterms:created xsi:type="dcterms:W3CDTF">2015-06-05T18:19:34Z</dcterms:created>
  <dcterms:modified xsi:type="dcterms:W3CDTF">2025-12-25T08:51:31Z</dcterms:modified>
</cp:coreProperties>
</file>