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uta\MATLAB Drive\senior_thesis_MAR\MPC+FF\"/>
    </mc:Choice>
  </mc:AlternateContent>
  <xr:revisionPtr revIDLastSave="0" documentId="13_ncr:1_{30F4B753-7CA0-498E-86F5-A098A1E7F89C}" xr6:coauthVersionLast="47" xr6:coauthVersionMax="47" xr10:uidLastSave="{00000000-0000-0000-0000-000000000000}"/>
  <bookViews>
    <workbookView xWindow="-110" yWindow="-110" windowWidth="21820" windowHeight="13900" firstSheet="3" activeTab="5" xr2:uid="{00000000-000D-0000-FFFF-FFFF00000000}"/>
  </bookViews>
  <sheets>
    <sheet name="Payload_Model (2)" sheetId="7" r:id="rId1"/>
    <sheet name="Aircraft_Model_origin" sheetId="1" r:id="rId2"/>
    <sheet name="Inertia" sheetId="6" r:id="rId3"/>
    <sheet name="Payload_Model" sheetId="2" r:id="rId4"/>
    <sheet name="Aero_Coeffs" sheetId="3" r:id="rId5"/>
    <sheet name="Simulation_Settings" sheetId="4" r:id="rId6"/>
    <sheet name="Sheet1" sheetId="8" r:id="rId7"/>
    <sheet name="Aircraft_Model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7" i="7"/>
  <c r="B3" i="7"/>
  <c r="B5" i="6"/>
  <c r="B4" i="6"/>
  <c r="B3" i="6"/>
  <c r="B2" i="6"/>
  <c r="B28" i="4"/>
  <c r="B4" i="5"/>
  <c r="B10" i="1"/>
  <c r="B8" i="1"/>
  <c r="B9" i="1"/>
  <c r="B3" i="2"/>
  <c r="B4" i="1"/>
</calcChain>
</file>

<file path=xl/sharedStrings.xml><?xml version="1.0" encoding="utf-8"?>
<sst xmlns="http://schemas.openxmlformats.org/spreadsheetml/2006/main" count="246" uniqueCount="138">
  <si>
    <t>Parameter</t>
  </si>
  <si>
    <t>Value</t>
  </si>
  <si>
    <t>Unit</t>
  </si>
  <si>
    <t>Description</t>
  </si>
  <si>
    <t>M_canopy</t>
  </si>
  <si>
    <t>kg</t>
  </si>
  <si>
    <t>キャノピーの質量</t>
  </si>
  <si>
    <t>g</t>
  </si>
  <si>
    <t>m/s^2</t>
  </si>
  <si>
    <t>重力加速度</t>
  </si>
  <si>
    <t>S_c</t>
  </si>
  <si>
    <t>m^2</t>
  </si>
  <si>
    <t>キャノピーの基準面積 (旧 S_p)</t>
  </si>
  <si>
    <t>b</t>
  </si>
  <si>
    <t>m</t>
  </si>
  <si>
    <t>キャノピーのスパン</t>
  </si>
  <si>
    <t>c</t>
  </si>
  <si>
    <t>キャノピーの平均コード</t>
  </si>
  <si>
    <t>rho_sea_level</t>
  </si>
  <si>
    <t>kg/m^3</t>
  </si>
  <si>
    <t>海面高度での空気密度 (初期値)</t>
  </si>
  <si>
    <t>r_total_cm_to_canopy_origin_B_X</t>
  </si>
  <si>
    <t>(全体CG -&gt; キャノピー原点) X軸</t>
  </si>
  <si>
    <t>r_total_cm_to_canopy_origin_B_Z</t>
  </si>
  <si>
    <t>(全体CG -&gt; キャノピー原点) Z軸</t>
  </si>
  <si>
    <t>r_canopy_origin_to_ac_B_X</t>
  </si>
  <si>
    <t>(キャノピー原点 -&gt; 空力中心) X軸</t>
  </si>
  <si>
    <t>r_canopy_origin_to_ac_B_Z</t>
  </si>
  <si>
    <t>(キャノピー原点 -&gt; 空力中心) Z軸</t>
  </si>
  <si>
    <t>C_L_0</t>
  </si>
  <si>
    <t>-</t>
  </si>
  <si>
    <t>揚力係数 (ゼロ迎角)</t>
  </si>
  <si>
    <t>C_L_alpha</t>
  </si>
  <si>
    <t>/rad</t>
  </si>
  <si>
    <t>揚力係数 (迎角依存)</t>
  </si>
  <si>
    <t>C_L_delta_s</t>
  </si>
  <si>
    <t>揚力係数 (シンメトリック入力)</t>
  </si>
  <si>
    <t>C_D_0</t>
  </si>
  <si>
    <t>抗力係数 (ゼロ迎力)</t>
  </si>
  <si>
    <t>C_D_alpha</t>
  </si>
  <si>
    <t>/rad^2</t>
  </si>
  <si>
    <t>抗力係数 (迎角二乗依存)</t>
  </si>
  <si>
    <t>C_D_delta_s</t>
  </si>
  <si>
    <t>抗力係数 (フラップ依存)</t>
  </si>
  <si>
    <t>C_m_0</t>
  </si>
  <si>
    <t>ピッチングモーメント係数 (ゼロ迎角)</t>
  </si>
  <si>
    <t>M_payload</t>
  </si>
  <si>
    <t>ペイロードの質量</t>
  </si>
  <si>
    <t>S_p</t>
  </si>
  <si>
    <t>ペイロードの基準面積 (旧 S_s)</t>
  </si>
  <si>
    <t>C_D_s</t>
  </si>
  <si>
    <t>ペイロードの抗力係数</t>
  </si>
  <si>
    <t>delta_x_pay</t>
  </si>
  <si>
    <t>ペイロードCG X座標 (r_total_cm_to_payload_cm_B X)</t>
  </si>
  <si>
    <t>delta_y_pay</t>
  </si>
  <si>
    <t>ペイロードCG Y座標 (r_total_cm_to_payload_cm_B Y)</t>
  </si>
  <si>
    <t>delta_z_pay</t>
  </si>
  <si>
    <t>ペイロードCG Z座標 (r_total_cm_to_payload_cm_B Z)</t>
  </si>
  <si>
    <t>h_init</t>
  </si>
  <si>
    <t>初期高度 (釣合い計算用)</t>
  </si>
  <si>
    <t>初期ブレーキ入力 (釣合い計算用)</t>
  </si>
  <si>
    <t>t_max</t>
  </si>
  <si>
    <t>s</t>
  </si>
  <si>
    <t>最大シミュレーション時間</t>
  </si>
  <si>
    <t>h_step</t>
  </si>
  <si>
    <t>シミュレーションの時間刻み幅</t>
  </si>
  <si>
    <t>string</t>
  </si>
  <si>
    <t>制御モード (WithFF or WithoutFF)</t>
  </si>
  <si>
    <t>バンク角(sigma)の時定数</t>
  </si>
  <si>
    <t>tau_delta_s</t>
  </si>
  <si>
    <t>対称ブレーキ(delta_s)の時定数</t>
  </si>
  <si>
    <t>turn_start_time</t>
  </si>
  <si>
    <t>旋回開始時間</t>
  </si>
  <si>
    <t>turn_end_time</t>
  </si>
  <si>
    <t>旋回終了時間</t>
  </si>
  <si>
    <t>deg</t>
  </si>
  <si>
    <t>最大バンク角 (FFリミッター)</t>
  </si>
  <si>
    <t>brake_start_time</t>
  </si>
  <si>
    <t>ブレーキ開始時間</t>
  </si>
  <si>
    <t>ブレーキ入力 [0-1]</t>
  </si>
  <si>
    <t>con_type</t>
  </si>
  <si>
    <t>deg</t>
    <phoneticPr fontId="1"/>
  </si>
  <si>
    <t>リギング角</t>
    <rPh sb="4" eb="5">
      <t>カク</t>
    </rPh>
    <phoneticPr fontId="1"/>
  </si>
  <si>
    <t>ang_psi_rigging</t>
  </si>
  <si>
    <t>C_m_alpha</t>
    <phoneticPr fontId="1"/>
  </si>
  <si>
    <t>/rad</t>
    <phoneticPr fontId="1"/>
  </si>
  <si>
    <t>ピッチングモーメント係数 (迎角依存)</t>
    <rPh sb="14" eb="18">
      <t>ゲイカクイゾン</t>
    </rPh>
    <phoneticPr fontId="1"/>
  </si>
  <si>
    <t>d</t>
    <phoneticPr fontId="1"/>
  </si>
  <si>
    <t>m</t>
    <phoneticPr fontId="1"/>
  </si>
  <si>
    <t>回転中心</t>
    <rPh sb="0" eb="4">
      <t>カイテンチュウシン</t>
    </rPh>
    <phoneticPr fontId="1"/>
  </si>
  <si>
    <t>Cl_phi</t>
    <phoneticPr fontId="1"/>
  </si>
  <si>
    <t>Cl_p</t>
    <phoneticPr fontId="1"/>
  </si>
  <si>
    <t>Cl_delta_a</t>
    <phoneticPr fontId="1"/>
  </si>
  <si>
    <t>Cn_r</t>
    <phoneticPr fontId="1"/>
  </si>
  <si>
    <t>Cn_delta_a</t>
    <phoneticPr fontId="1"/>
  </si>
  <si>
    <t>-</t>
    <phoneticPr fontId="1"/>
  </si>
  <si>
    <t>target_delta_a</t>
    <phoneticPr fontId="1"/>
  </si>
  <si>
    <t>max_bank_deg</t>
    <phoneticPr fontId="1"/>
  </si>
  <si>
    <t>tau_delta_a</t>
    <phoneticPr fontId="1"/>
  </si>
  <si>
    <t>delta_a_max</t>
  </si>
  <si>
    <t>delta_a_min</t>
    <phoneticPr fontId="1"/>
  </si>
  <si>
    <t>delta_s_min</t>
    <phoneticPr fontId="1"/>
  </si>
  <si>
    <t>delta_s_max</t>
    <phoneticPr fontId="1"/>
  </si>
  <si>
    <t>δaの最大値</t>
    <rPh sb="3" eb="6">
      <t>サイダイチ</t>
    </rPh>
    <phoneticPr fontId="1"/>
  </si>
  <si>
    <t>δaの最小値</t>
    <rPh sb="3" eb="6">
      <t>サイショウチ</t>
    </rPh>
    <phoneticPr fontId="1"/>
  </si>
  <si>
    <t>δsの最小値</t>
    <rPh sb="3" eb="6">
      <t>サイショウチ</t>
    </rPh>
    <phoneticPr fontId="1"/>
  </si>
  <si>
    <t>δsの最大値</t>
    <rPh sb="3" eb="6">
      <t>サイダイチ</t>
    </rPh>
    <phoneticPr fontId="1"/>
  </si>
  <si>
    <t>X_initial</t>
  </si>
  <si>
    <t>Y_initial</t>
    <phoneticPr fontId="1"/>
  </si>
  <si>
    <t>psi_initial_deg</t>
    <phoneticPr fontId="1"/>
  </si>
  <si>
    <t>m/s</t>
    <phoneticPr fontId="1"/>
  </si>
  <si>
    <t>速度の推定値</t>
    <rPh sb="0" eb="2">
      <t>ソクド</t>
    </rPh>
    <rPh sb="3" eb="6">
      <t>スイテイチ</t>
    </rPh>
    <phoneticPr fontId="1"/>
  </si>
  <si>
    <t>V_init_guess</t>
    <phoneticPr fontId="1"/>
  </si>
  <si>
    <t>brake_end_time</t>
    <phoneticPr fontId="1"/>
  </si>
  <si>
    <t>ブレーキ終了時間</t>
    <rPh sb="4" eb="6">
      <t>シュウリョウ</t>
    </rPh>
    <phoneticPr fontId="1"/>
  </si>
  <si>
    <t>target_delta_s</t>
    <phoneticPr fontId="1"/>
  </si>
  <si>
    <t>目標δa(正だと右ブレーキ→左旋回)</t>
    <rPh sb="5" eb="6">
      <t>セイ</t>
    </rPh>
    <rPh sb="8" eb="9">
      <t>ミギ</t>
    </rPh>
    <rPh sb="14" eb="15">
      <t>ヒダリ</t>
    </rPh>
    <rPh sb="15" eb="17">
      <t>センカイ</t>
    </rPh>
    <phoneticPr fontId="1"/>
  </si>
  <si>
    <t>tau_mu</t>
    <phoneticPr fontId="1"/>
  </si>
  <si>
    <t>mu_min_deg</t>
    <phoneticPr fontId="1"/>
  </si>
  <si>
    <t>mu_max_deg</t>
    <phoneticPr fontId="1"/>
  </si>
  <si>
    <t>target_mu_deg</t>
    <phoneticPr fontId="1"/>
  </si>
  <si>
    <t>WithoutFF</t>
    <phoneticPr fontId="1"/>
  </si>
  <si>
    <t>I_xx</t>
  </si>
  <si>
    <t>全体の慣性モーメント XX [kg m^2]</t>
  </si>
  <si>
    <t>I_yy</t>
  </si>
  <si>
    <t>全体の慣性モーメント YY [kg m^2]</t>
  </si>
  <si>
    <t>I_zz</t>
  </si>
  <si>
    <t>全体の慣性モーメント ZZ [kg m^2]</t>
  </si>
  <si>
    <t>I_xz</t>
  </si>
  <si>
    <t>全体の慣性乗積 XZ [kg m^2]</t>
  </si>
  <si>
    <t>C_L_delta_a</t>
    <phoneticPr fontId="1"/>
  </si>
  <si>
    <t>C_D_delta_a</t>
    <phoneticPr fontId="1"/>
  </si>
  <si>
    <t>C_m_q</t>
  </si>
  <si>
    <t>ピッチ減衰係数</t>
  </si>
  <si>
    <t>C_Y_beta</t>
  </si>
  <si>
    <t>横力係数 (対 横滑り角 beta)</t>
  </si>
  <si>
    <t>delta_R_init</t>
    <phoneticPr fontId="1"/>
  </si>
  <si>
    <t>delta_L_init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</si>
</sst>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rgb="FFA709F5"/>
      <name val="Consolas"/>
      <family val="3"/>
    </font>
    <font>
      <sz val="7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indent="1"/>
    </xf>
    <xf numFmtId="0" fontId="0" fillId="2" borderId="0" xfId="0" applyFill="1"/>
    <xf numFmtId="0" fontId="3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BCB6-A62E-4A29-9A2C-F260606940AD}">
  <dimension ref="A1:D7"/>
  <sheetViews>
    <sheetView workbookViewId="0">
      <selection activeCell="C20" sqref="C20"/>
    </sheetView>
  </sheetViews>
  <sheetFormatPr defaultRowHeight="18"/>
  <cols>
    <col min="1" max="1" width="11.0820312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t="s">
        <v>46</v>
      </c>
      <c r="B2">
        <v>4</v>
      </c>
      <c r="C2" t="s">
        <v>5</v>
      </c>
      <c r="D2" t="s">
        <v>47</v>
      </c>
    </row>
    <row r="3" spans="1:4">
      <c r="A3" t="s">
        <v>48</v>
      </c>
      <c r="B3">
        <f>Aircraft_Model_origin!B4</f>
        <v>3</v>
      </c>
      <c r="C3" t="s">
        <v>11</v>
      </c>
      <c r="D3" t="s">
        <v>49</v>
      </c>
    </row>
    <row r="4" spans="1:4">
      <c r="A4" t="s">
        <v>50</v>
      </c>
      <c r="B4">
        <v>0</v>
      </c>
      <c r="C4" t="s">
        <v>30</v>
      </c>
      <c r="D4" t="s">
        <v>51</v>
      </c>
    </row>
    <row r="5" spans="1:4">
      <c r="A5" t="s">
        <v>52</v>
      </c>
      <c r="B5">
        <v>0</v>
      </c>
      <c r="C5" t="s">
        <v>14</v>
      </c>
      <c r="D5" t="s">
        <v>53</v>
      </c>
    </row>
    <row r="6" spans="1:4">
      <c r="A6" t="s">
        <v>54</v>
      </c>
      <c r="B6">
        <v>0</v>
      </c>
      <c r="C6" t="s">
        <v>14</v>
      </c>
      <c r="D6" t="s">
        <v>55</v>
      </c>
    </row>
    <row r="7" spans="1:4">
      <c r="A7" t="s">
        <v>56</v>
      </c>
      <c r="B7">
        <f>-Aircraft_Model_origin!B9*Aircraft_Model_origin!B2/'Payload_Model (2)'!B2</f>
        <v>0.21666666666666667</v>
      </c>
      <c r="C7" t="s">
        <v>14</v>
      </c>
      <c r="D7" t="s">
        <v>57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opLeftCell="L1" workbookViewId="0">
      <selection activeCell="O8" sqref="O8"/>
    </sheetView>
  </sheetViews>
  <sheetFormatPr defaultRowHeight="18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0.5</v>
      </c>
      <c r="C2" t="s">
        <v>5</v>
      </c>
      <c r="D2" t="s">
        <v>6</v>
      </c>
    </row>
    <row r="3" spans="1:4">
      <c r="A3" t="s">
        <v>7</v>
      </c>
      <c r="B3">
        <v>9.8070000000000004</v>
      </c>
      <c r="C3" t="s">
        <v>8</v>
      </c>
      <c r="D3" t="s">
        <v>9</v>
      </c>
    </row>
    <row r="4" spans="1:4">
      <c r="A4" t="s">
        <v>10</v>
      </c>
      <c r="B4">
        <f>B5*B6</f>
        <v>3</v>
      </c>
      <c r="C4" t="s">
        <v>11</v>
      </c>
      <c r="D4" t="s">
        <v>12</v>
      </c>
    </row>
    <row r="5" spans="1:4">
      <c r="A5" t="s">
        <v>13</v>
      </c>
      <c r="B5">
        <v>3</v>
      </c>
      <c r="C5" t="s">
        <v>14</v>
      </c>
      <c r="D5" t="s">
        <v>15</v>
      </c>
    </row>
    <row r="6" spans="1:4">
      <c r="A6" t="s">
        <v>16</v>
      </c>
      <c r="B6">
        <v>1</v>
      </c>
      <c r="C6" t="s">
        <v>14</v>
      </c>
      <c r="D6" t="s">
        <v>17</v>
      </c>
    </row>
    <row r="7" spans="1:4">
      <c r="A7" t="s">
        <v>18</v>
      </c>
      <c r="B7">
        <v>1.2250000000000001</v>
      </c>
      <c r="C7" t="s">
        <v>19</v>
      </c>
      <c r="D7" t="s">
        <v>20</v>
      </c>
    </row>
    <row r="8" spans="1:4">
      <c r="A8" t="s">
        <v>21</v>
      </c>
      <c r="B8">
        <f>-(B6/2-B13)</f>
        <v>-0.4</v>
      </c>
      <c r="C8" t="s">
        <v>14</v>
      </c>
      <c r="D8" t="s">
        <v>22</v>
      </c>
    </row>
    <row r="9" spans="1:4">
      <c r="A9" t="s">
        <v>23</v>
      </c>
      <c r="B9">
        <f>-(1.9+0.1/2)*Payload_Model!B2/(B2+Payload_Model!B2)</f>
        <v>-1.7333333333333334</v>
      </c>
      <c r="C9" t="s">
        <v>14</v>
      </c>
      <c r="D9" t="s">
        <v>24</v>
      </c>
    </row>
    <row r="10" spans="1:4">
      <c r="A10" t="s">
        <v>25</v>
      </c>
      <c r="B10">
        <f>3*B6/4-B13</f>
        <v>0.65</v>
      </c>
      <c r="C10" t="s">
        <v>14</v>
      </c>
      <c r="D10" t="s">
        <v>26</v>
      </c>
    </row>
    <row r="11" spans="1:4">
      <c r="A11" t="s">
        <v>27</v>
      </c>
      <c r="B11">
        <v>0</v>
      </c>
      <c r="C11" t="s">
        <v>14</v>
      </c>
      <c r="D11" t="s">
        <v>28</v>
      </c>
    </row>
    <row r="12" spans="1:4">
      <c r="A12" s="2" t="s">
        <v>83</v>
      </c>
      <c r="B12">
        <v>7</v>
      </c>
      <c r="C12" t="s">
        <v>81</v>
      </c>
      <c r="D12" t="s">
        <v>82</v>
      </c>
    </row>
    <row r="13" spans="1:4">
      <c r="A13" t="s">
        <v>87</v>
      </c>
      <c r="B13">
        <v>0.1</v>
      </c>
      <c r="C13" t="s">
        <v>88</v>
      </c>
      <c r="D13" t="s">
        <v>89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9A900-BD27-4698-BDC4-0C08D90CAE22}">
  <dimension ref="A1:D5"/>
  <sheetViews>
    <sheetView workbookViewId="0">
      <selection activeCell="B6" sqref="B6"/>
    </sheetView>
  </sheetViews>
  <sheetFormatPr defaultRowHeight="18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122</v>
      </c>
      <c r="B2">
        <f>0.423 * 10</f>
        <v>4.2299999999999995</v>
      </c>
      <c r="D2" t="s">
        <v>123</v>
      </c>
    </row>
    <row r="3" spans="1:4">
      <c r="A3" t="s">
        <v>124</v>
      </c>
      <c r="B3">
        <f>0.401 * 10</f>
        <v>4.01</v>
      </c>
      <c r="D3" t="s">
        <v>125</v>
      </c>
    </row>
    <row r="4" spans="1:4">
      <c r="A4" t="s">
        <v>126</v>
      </c>
      <c r="B4">
        <f>0.053 * 10</f>
        <v>0.53</v>
      </c>
      <c r="D4" t="s">
        <v>127</v>
      </c>
    </row>
    <row r="5" spans="1:4">
      <c r="A5" t="s">
        <v>128</v>
      </c>
      <c r="B5">
        <f xml:space="preserve"> 0.03 * 10</f>
        <v>0.3</v>
      </c>
      <c r="D5" t="s">
        <v>129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7E36-D186-47F3-BB36-2DFD777D2F33}">
  <dimension ref="A1:D7"/>
  <sheetViews>
    <sheetView workbookViewId="0">
      <selection activeCell="B7" sqref="B7"/>
    </sheetView>
  </sheetViews>
  <sheetFormatPr defaultRowHeight="18"/>
  <cols>
    <col min="1" max="1" width="11.0820312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t="s">
        <v>46</v>
      </c>
      <c r="B2">
        <v>4</v>
      </c>
      <c r="C2" t="s">
        <v>5</v>
      </c>
      <c r="D2" t="s">
        <v>47</v>
      </c>
    </row>
    <row r="3" spans="1:4">
      <c r="A3" t="s">
        <v>48</v>
      </c>
      <c r="B3">
        <f>Aircraft_Model_origin!B4</f>
        <v>3</v>
      </c>
      <c r="C3" t="s">
        <v>11</v>
      </c>
      <c r="D3" t="s">
        <v>49</v>
      </c>
    </row>
    <row r="4" spans="1:4">
      <c r="A4" t="s">
        <v>50</v>
      </c>
      <c r="B4">
        <v>0</v>
      </c>
      <c r="C4" t="s">
        <v>30</v>
      </c>
      <c r="D4" t="s">
        <v>51</v>
      </c>
    </row>
    <row r="5" spans="1:4">
      <c r="A5" t="s">
        <v>52</v>
      </c>
      <c r="B5">
        <v>0</v>
      </c>
      <c r="C5" t="s">
        <v>14</v>
      </c>
      <c r="D5" t="s">
        <v>53</v>
      </c>
    </row>
    <row r="6" spans="1:4">
      <c r="A6" t="s">
        <v>54</v>
      </c>
      <c r="B6">
        <v>0</v>
      </c>
      <c r="C6" t="s">
        <v>14</v>
      </c>
      <c r="D6" t="s">
        <v>55</v>
      </c>
    </row>
    <row r="7" spans="1:4">
      <c r="A7" t="s">
        <v>56</v>
      </c>
      <c r="B7">
        <f>-Aircraft_Model_origin!B9*Aircraft_Model_origin!B2/Payload_Model!B2</f>
        <v>0.21666666666666667</v>
      </c>
      <c r="C7" t="s">
        <v>14</v>
      </c>
      <c r="D7" t="s">
        <v>57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59E4-93E6-42BC-8666-C2D5EDC3E5C8}">
  <dimension ref="A1:F18"/>
  <sheetViews>
    <sheetView workbookViewId="0">
      <selection activeCell="B18" sqref="B18"/>
    </sheetView>
  </sheetViews>
  <sheetFormatPr defaultRowHeight="18"/>
  <cols>
    <col min="1" max="1" width="11.83203125" bestFit="1" customWidth="1"/>
    <col min="2" max="2" width="9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</row>
    <row r="2" spans="1:6">
      <c r="A2" t="s">
        <v>29</v>
      </c>
      <c r="B2">
        <v>0.5</v>
      </c>
      <c r="C2" t="s">
        <v>30</v>
      </c>
      <c r="D2" t="s">
        <v>31</v>
      </c>
    </row>
    <row r="3" spans="1:6">
      <c r="A3" t="s">
        <v>32</v>
      </c>
      <c r="B3">
        <v>1.7190000000000001</v>
      </c>
      <c r="C3" t="s">
        <v>33</v>
      </c>
      <c r="D3" t="s">
        <v>34</v>
      </c>
    </row>
    <row r="4" spans="1:6">
      <c r="A4" t="s">
        <v>130</v>
      </c>
      <c r="B4">
        <v>1E-4</v>
      </c>
    </row>
    <row r="5" spans="1:6">
      <c r="A5" s="3" t="s">
        <v>35</v>
      </c>
      <c r="B5" s="3">
        <v>0</v>
      </c>
      <c r="C5" s="3" t="s">
        <v>33</v>
      </c>
      <c r="D5" s="3" t="s">
        <v>36</v>
      </c>
      <c r="E5" s="3"/>
      <c r="F5" s="3"/>
    </row>
    <row r="6" spans="1:6">
      <c r="A6" t="s">
        <v>37</v>
      </c>
      <c r="B6">
        <v>0.2</v>
      </c>
      <c r="C6" t="s">
        <v>30</v>
      </c>
      <c r="D6" t="s">
        <v>38</v>
      </c>
    </row>
    <row r="7" spans="1:6">
      <c r="A7" t="s">
        <v>39</v>
      </c>
      <c r="B7">
        <v>0.7</v>
      </c>
      <c r="C7" t="s">
        <v>40</v>
      </c>
      <c r="D7" t="s">
        <v>41</v>
      </c>
    </row>
    <row r="8" spans="1:6">
      <c r="A8" t="s">
        <v>131</v>
      </c>
      <c r="B8">
        <v>1E-4</v>
      </c>
    </row>
    <row r="9" spans="1:6">
      <c r="A9" s="3" t="s">
        <v>42</v>
      </c>
      <c r="B9" s="3">
        <v>0.57999999999999996</v>
      </c>
      <c r="C9" s="3" t="s">
        <v>33</v>
      </c>
      <c r="D9" s="3" t="s">
        <v>43</v>
      </c>
      <c r="E9" s="3"/>
    </row>
    <row r="10" spans="1:6">
      <c r="A10" t="s">
        <v>44</v>
      </c>
      <c r="B10">
        <v>0.13969999999999999</v>
      </c>
      <c r="C10" t="s">
        <v>30</v>
      </c>
      <c r="D10" t="s">
        <v>86</v>
      </c>
    </row>
    <row r="11" spans="1:6">
      <c r="A11" t="s">
        <v>84</v>
      </c>
      <c r="B11">
        <v>-1.4308000000000001</v>
      </c>
      <c r="C11" t="s">
        <v>85</v>
      </c>
      <c r="D11" t="s">
        <v>45</v>
      </c>
    </row>
    <row r="12" spans="1:6">
      <c r="A12" t="s">
        <v>132</v>
      </c>
      <c r="B12">
        <v>-0.22520999999999999</v>
      </c>
      <c r="D12" t="s">
        <v>133</v>
      </c>
    </row>
    <row r="13" spans="1:6">
      <c r="A13" t="s">
        <v>90</v>
      </c>
      <c r="B13">
        <v>-0.04</v>
      </c>
    </row>
    <row r="14" spans="1:6">
      <c r="A14" t="s">
        <v>91</v>
      </c>
      <c r="B14">
        <v>-0.08</v>
      </c>
    </row>
    <row r="15" spans="1:6">
      <c r="A15" t="s">
        <v>92</v>
      </c>
      <c r="B15">
        <v>-1.0000000000000001E-5</v>
      </c>
    </row>
    <row r="16" spans="1:6">
      <c r="A16" t="s">
        <v>93</v>
      </c>
      <c r="B16">
        <v>-1.2E-2</v>
      </c>
    </row>
    <row r="17" spans="1:4">
      <c r="A17" t="s">
        <v>94</v>
      </c>
      <c r="B17">
        <v>-8.0000000000000007E-5</v>
      </c>
    </row>
    <row r="18" spans="1:4">
      <c r="A18" t="s">
        <v>134</v>
      </c>
      <c r="B18">
        <v>-0.1</v>
      </c>
      <c r="D18" t="s">
        <v>135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B8125-88ED-420F-BB77-91E0D1F2F541}">
  <dimension ref="A1:D28"/>
  <sheetViews>
    <sheetView tabSelected="1" zoomScaleNormal="100" workbookViewId="0">
      <selection activeCell="O5" sqref="O5"/>
    </sheetView>
  </sheetViews>
  <sheetFormatPr defaultRowHeight="18"/>
  <cols>
    <col min="1" max="1" width="16.83203125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2" t="s">
        <v>107</v>
      </c>
      <c r="B2" s="4">
        <v>148.1</v>
      </c>
      <c r="C2" t="s">
        <v>88</v>
      </c>
    </row>
    <row r="3" spans="1:4">
      <c r="A3" s="2" t="s">
        <v>108</v>
      </c>
      <c r="B3" s="4">
        <v>-108.7</v>
      </c>
      <c r="C3" t="s">
        <v>88</v>
      </c>
    </row>
    <row r="4" spans="1:4">
      <c r="A4" s="2" t="s">
        <v>109</v>
      </c>
      <c r="B4" s="4">
        <v>-96.8</v>
      </c>
      <c r="C4" t="s">
        <v>81</v>
      </c>
    </row>
    <row r="5" spans="1:4">
      <c r="A5" s="2" t="s">
        <v>112</v>
      </c>
      <c r="B5">
        <v>30</v>
      </c>
      <c r="C5" t="s">
        <v>110</v>
      </c>
      <c r="D5" t="s">
        <v>111</v>
      </c>
    </row>
    <row r="6" spans="1:4">
      <c r="A6" t="s">
        <v>58</v>
      </c>
      <c r="B6" s="4">
        <v>3597.4</v>
      </c>
      <c r="C6" t="s">
        <v>14</v>
      </c>
      <c r="D6" t="s">
        <v>59</v>
      </c>
    </row>
    <row r="7" spans="1:4">
      <c r="A7" t="s">
        <v>136</v>
      </c>
      <c r="B7">
        <v>0</v>
      </c>
      <c r="C7" t="s">
        <v>30</v>
      </c>
      <c r="D7" t="s">
        <v>60</v>
      </c>
    </row>
    <row r="8" spans="1:4">
      <c r="A8" t="s">
        <v>137</v>
      </c>
      <c r="B8">
        <v>0</v>
      </c>
      <c r="C8" t="s">
        <v>30</v>
      </c>
      <c r="D8" t="s">
        <v>60</v>
      </c>
    </row>
    <row r="9" spans="1:4">
      <c r="A9" t="s">
        <v>61</v>
      </c>
      <c r="B9">
        <v>400</v>
      </c>
      <c r="C9" t="s">
        <v>62</v>
      </c>
      <c r="D9" t="s">
        <v>63</v>
      </c>
    </row>
    <row r="10" spans="1:4">
      <c r="A10" t="s">
        <v>64</v>
      </c>
      <c r="B10">
        <v>0.1</v>
      </c>
      <c r="C10" t="s">
        <v>62</v>
      </c>
      <c r="D10" t="s">
        <v>65</v>
      </c>
    </row>
    <row r="11" spans="1:4">
      <c r="A11" t="s">
        <v>80</v>
      </c>
      <c r="B11" t="s">
        <v>121</v>
      </c>
      <c r="C11" t="s">
        <v>66</v>
      </c>
      <c r="D11" t="s">
        <v>67</v>
      </c>
    </row>
    <row r="12" spans="1:4">
      <c r="A12" t="s">
        <v>98</v>
      </c>
      <c r="B12">
        <v>3</v>
      </c>
      <c r="C12" t="s">
        <v>62</v>
      </c>
      <c r="D12" t="s">
        <v>68</v>
      </c>
    </row>
    <row r="13" spans="1:4">
      <c r="A13" t="s">
        <v>69</v>
      </c>
      <c r="B13">
        <v>0.5</v>
      </c>
      <c r="C13" t="s">
        <v>62</v>
      </c>
      <c r="D13" t="s">
        <v>70</v>
      </c>
    </row>
    <row r="14" spans="1:4">
      <c r="A14" t="s">
        <v>71</v>
      </c>
      <c r="B14">
        <v>50</v>
      </c>
      <c r="C14" t="s">
        <v>62</v>
      </c>
      <c r="D14" t="s">
        <v>72</v>
      </c>
    </row>
    <row r="15" spans="1:4">
      <c r="A15" t="s">
        <v>73</v>
      </c>
      <c r="B15">
        <v>1500</v>
      </c>
      <c r="C15" t="s">
        <v>62</v>
      </c>
      <c r="D15" t="s">
        <v>74</v>
      </c>
    </row>
    <row r="16" spans="1:4">
      <c r="A16" t="s">
        <v>96</v>
      </c>
      <c r="B16">
        <v>-1</v>
      </c>
      <c r="C16" t="s">
        <v>95</v>
      </c>
      <c r="D16" t="s">
        <v>116</v>
      </c>
    </row>
    <row r="17" spans="1:4">
      <c r="A17" s="2" t="s">
        <v>100</v>
      </c>
      <c r="B17">
        <v>-1</v>
      </c>
      <c r="D17" t="s">
        <v>104</v>
      </c>
    </row>
    <row r="18" spans="1:4">
      <c r="A18" s="2" t="s">
        <v>99</v>
      </c>
      <c r="B18">
        <v>1</v>
      </c>
      <c r="D18" t="s">
        <v>103</v>
      </c>
    </row>
    <row r="19" spans="1:4">
      <c r="A19" t="s">
        <v>97</v>
      </c>
      <c r="B19">
        <v>2</v>
      </c>
      <c r="C19" t="s">
        <v>75</v>
      </c>
      <c r="D19" t="s">
        <v>76</v>
      </c>
    </row>
    <row r="20" spans="1:4">
      <c r="A20" t="s">
        <v>77</v>
      </c>
      <c r="B20">
        <v>300</v>
      </c>
      <c r="C20" t="s">
        <v>62</v>
      </c>
      <c r="D20" t="s">
        <v>78</v>
      </c>
    </row>
    <row r="21" spans="1:4">
      <c r="A21" t="s">
        <v>113</v>
      </c>
      <c r="B21">
        <v>350</v>
      </c>
      <c r="C21" t="s">
        <v>62</v>
      </c>
      <c r="D21" t="s">
        <v>114</v>
      </c>
    </row>
    <row r="22" spans="1:4">
      <c r="A22" t="s">
        <v>115</v>
      </c>
      <c r="B22">
        <v>0.3</v>
      </c>
      <c r="C22" t="s">
        <v>30</v>
      </c>
      <c r="D22" t="s">
        <v>79</v>
      </c>
    </row>
    <row r="23" spans="1:4">
      <c r="A23" s="2" t="s">
        <v>101</v>
      </c>
      <c r="B23">
        <v>0</v>
      </c>
      <c r="D23" t="s">
        <v>105</v>
      </c>
    </row>
    <row r="24" spans="1:4">
      <c r="A24" s="2" t="s">
        <v>102</v>
      </c>
      <c r="B24">
        <v>1</v>
      </c>
      <c r="D24" t="s">
        <v>106</v>
      </c>
    </row>
    <row r="25" spans="1:4">
      <c r="A25" t="s">
        <v>117</v>
      </c>
      <c r="B25">
        <v>2</v>
      </c>
    </row>
    <row r="26" spans="1:4">
      <c r="A26" t="s">
        <v>118</v>
      </c>
      <c r="B26">
        <v>0</v>
      </c>
    </row>
    <row r="27" spans="1:4">
      <c r="A27" t="s">
        <v>119</v>
      </c>
      <c r="B27">
        <v>10</v>
      </c>
    </row>
    <row r="28" spans="1:4">
      <c r="A28" t="s">
        <v>120</v>
      </c>
      <c r="B28">
        <f>Aircraft_Model!B12</f>
        <v>7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66C2-795C-466D-A754-64574850800F}">
  <dimension ref="A1"/>
  <sheetViews>
    <sheetView workbookViewId="0"/>
  </sheetViews>
  <sheetFormatPr defaultRowHeight="18"/>
  <sheetData/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406E0-F282-44D1-B150-065EAC59E72D}">
  <dimension ref="A1:D13"/>
  <sheetViews>
    <sheetView workbookViewId="0">
      <selection activeCell="C21" sqref="C21"/>
    </sheetView>
  </sheetViews>
  <sheetFormatPr defaultRowHeight="18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0.5</v>
      </c>
      <c r="C2" t="s">
        <v>5</v>
      </c>
      <c r="D2" t="s">
        <v>6</v>
      </c>
    </row>
    <row r="3" spans="1:4">
      <c r="A3" t="s">
        <v>7</v>
      </c>
      <c r="B3">
        <v>9.8070000000000004</v>
      </c>
      <c r="C3" t="s">
        <v>8</v>
      </c>
      <c r="D3" t="s">
        <v>9</v>
      </c>
    </row>
    <row r="4" spans="1:4">
      <c r="A4" t="s">
        <v>10</v>
      </c>
      <c r="B4">
        <f>B5*B6</f>
        <v>3</v>
      </c>
      <c r="C4" t="s">
        <v>11</v>
      </c>
      <c r="D4" t="s">
        <v>12</v>
      </c>
    </row>
    <row r="5" spans="1:4">
      <c r="A5" t="s">
        <v>13</v>
      </c>
      <c r="B5">
        <v>3</v>
      </c>
      <c r="C5" t="s">
        <v>14</v>
      </c>
      <c r="D5" t="s">
        <v>15</v>
      </c>
    </row>
    <row r="6" spans="1:4">
      <c r="A6" t="s">
        <v>16</v>
      </c>
      <c r="B6">
        <v>1</v>
      </c>
      <c r="C6" t="s">
        <v>14</v>
      </c>
      <c r="D6" t="s">
        <v>17</v>
      </c>
    </row>
    <row r="7" spans="1:4">
      <c r="A7" t="s">
        <v>18</v>
      </c>
      <c r="B7">
        <v>1.2250000000000001</v>
      </c>
      <c r="C7" t="s">
        <v>19</v>
      </c>
      <c r="D7" t="s">
        <v>20</v>
      </c>
    </row>
    <row r="8" spans="1:4">
      <c r="A8" t="s">
        <v>21</v>
      </c>
      <c r="B8">
        <v>0</v>
      </c>
      <c r="C8" t="s">
        <v>14</v>
      </c>
      <c r="D8" t="s">
        <v>22</v>
      </c>
    </row>
    <row r="9" spans="1:4">
      <c r="A9" t="s">
        <v>23</v>
      </c>
      <c r="B9">
        <v>0</v>
      </c>
      <c r="C9" t="s">
        <v>14</v>
      </c>
      <c r="D9" t="s">
        <v>24</v>
      </c>
    </row>
    <row r="10" spans="1:4">
      <c r="A10" t="s">
        <v>25</v>
      </c>
      <c r="B10">
        <v>0</v>
      </c>
      <c r="C10" t="s">
        <v>14</v>
      </c>
      <c r="D10" t="s">
        <v>26</v>
      </c>
    </row>
    <row r="11" spans="1:4">
      <c r="A11" t="s">
        <v>27</v>
      </c>
      <c r="B11">
        <v>0</v>
      </c>
      <c r="C11" t="s">
        <v>14</v>
      </c>
      <c r="D11" t="s">
        <v>28</v>
      </c>
    </row>
    <row r="12" spans="1:4">
      <c r="A12" s="2" t="s">
        <v>83</v>
      </c>
      <c r="B12">
        <v>7</v>
      </c>
      <c r="C12" t="s">
        <v>81</v>
      </c>
      <c r="D12" t="s">
        <v>82</v>
      </c>
    </row>
    <row r="13" spans="1:4">
      <c r="A13" t="s">
        <v>87</v>
      </c>
      <c r="B13">
        <v>0.1</v>
      </c>
      <c r="C13" t="s">
        <v>88</v>
      </c>
      <c r="D13" t="s">
        <v>89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Payload_Model (2)</vt:lpstr>
      <vt:lpstr>Aircraft_Model_origin</vt:lpstr>
      <vt:lpstr>Inertia</vt:lpstr>
      <vt:lpstr>Payload_Model</vt:lpstr>
      <vt:lpstr>Aero_Coeffs</vt:lpstr>
      <vt:lpstr>Simulation_Settings</vt:lpstr>
      <vt:lpstr>Sheet1</vt:lpstr>
      <vt:lpstr>Aircraft_Model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舟木悠太</dc:creator>
  <cp:lastModifiedBy>舟木　悠太</cp:lastModifiedBy>
  <dcterms:created xsi:type="dcterms:W3CDTF">2015-06-05T18:19:34Z</dcterms:created>
  <dcterms:modified xsi:type="dcterms:W3CDTF">2026-01-22T03:35:23Z</dcterms:modified>
</cp:coreProperties>
</file>