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op\MATLAB Drive\senior_thesis_MAR\MPC+FF\"/>
    </mc:Choice>
  </mc:AlternateContent>
  <xr:revisionPtr revIDLastSave="0" documentId="13_ncr:1_{A383BB8D-773C-4E98-A2EC-94C2A4EF46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機体パラメータ" sheetId="1" r:id="rId1"/>
    <sheet name="ペイロード" sheetId="2" r:id="rId2"/>
    <sheet name="空力係数" sheetId="5" r:id="rId3"/>
    <sheet name="初期条件" sheetId="4" r:id="rId4"/>
    <sheet name="誘導目標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2"/>
</calcChain>
</file>

<file path=xl/sharedStrings.xml><?xml version="1.0" encoding="utf-8"?>
<sst xmlns="http://schemas.openxmlformats.org/spreadsheetml/2006/main" count="168" uniqueCount="120">
  <si>
    <t>Parameter</t>
  </si>
  <si>
    <t>Value</t>
  </si>
  <si>
    <t>Description</t>
  </si>
  <si>
    <t>g</t>
  </si>
  <si>
    <t>c</t>
  </si>
  <si>
    <t>b</t>
  </si>
  <si>
    <t>C_L_0</t>
  </si>
  <si>
    <t>C_L_alpha</t>
  </si>
  <si>
    <t>C_D_0</t>
  </si>
  <si>
    <t>C_D_alpha</t>
  </si>
  <si>
    <t>C_m_0</t>
  </si>
  <si>
    <t>C_m_alpha</t>
  </si>
  <si>
    <t>C_m_q</t>
  </si>
  <si>
    <t>M_payload</t>
  </si>
  <si>
    <t>l_x</t>
  </si>
  <si>
    <t>l_y</t>
  </si>
  <si>
    <t>l_z</t>
  </si>
  <si>
    <t>r_inner</t>
  </si>
  <si>
    <t>t</t>
  </si>
  <si>
    <t>x_init</t>
  </si>
  <si>
    <t>z_init</t>
  </si>
  <si>
    <t>u_init</t>
  </si>
  <si>
    <t>w_init</t>
  </si>
  <si>
    <t>q_init</t>
  </si>
  <si>
    <t>theta_init_deg</t>
  </si>
  <si>
    <t>Unit</t>
  </si>
  <si>
    <t>m/s^2</t>
  </si>
  <si>
    <t>重力加速度</t>
  </si>
  <si>
    <t>M_canopy</t>
  </si>
  <si>
    <t>kg</t>
  </si>
  <si>
    <t>キャノピーの質量</t>
  </si>
  <si>
    <t>m^2</t>
  </si>
  <si>
    <t>m</t>
  </si>
  <si>
    <t>キャノピーのスパン</t>
  </si>
  <si>
    <t>キャノピーの平均コード</t>
  </si>
  <si>
    <t>d</t>
  </si>
  <si>
    <t>rho_sea_level</t>
  </si>
  <si>
    <t>kg/m^3</t>
  </si>
  <si>
    <t>-</t>
  </si>
  <si>
    <t>C_L_delta_s</t>
  </si>
  <si>
    <t>C_L_delta_a</t>
  </si>
  <si>
    <t>C_Y_beta</t>
  </si>
  <si>
    <t>ペイロードの質量</t>
  </si>
  <si>
    <t>ペイロードのX寸法</t>
  </si>
  <si>
    <t>ペイロードのY寸法</t>
  </si>
  <si>
    <t>ペイロードのZ寸法</t>
  </si>
  <si>
    <t>S_s</t>
  </si>
  <si>
    <t>ペイロードの基準面積 (抗力計算用)</t>
  </si>
  <si>
    <t>C_D_s</t>
  </si>
  <si>
    <t>delta_x_pay</t>
  </si>
  <si>
    <t>ペイロード重心のX座標 (ペイロード原点基準)</t>
  </si>
  <si>
    <t>delta_y_pay</t>
  </si>
  <si>
    <t>ペイロード重心のY座標 (ペイロード原点基準)</t>
  </si>
  <si>
    <t>delta_z_pay</t>
  </si>
  <si>
    <t>ペイロード重心のZ座標 (ペイロード原点基準)</t>
  </si>
  <si>
    <t>C_l_phi</t>
  </si>
  <si>
    <t>C_l_p</t>
  </si>
  <si>
    <t>C_l_delta_a</t>
  </si>
  <si>
    <t>C_n_r</t>
  </si>
  <si>
    <t>C_n_delta_a</t>
  </si>
  <si>
    <t>m/s</t>
  </si>
  <si>
    <t>初期速度 (機体X軸方向)</t>
  </si>
  <si>
    <t>v_init</t>
  </si>
  <si>
    <t>初期速度 (機体Y軸方向)</t>
  </si>
  <si>
    <t>初期速度 (機体Z軸方向)</t>
  </si>
  <si>
    <t>p_init</t>
  </si>
  <si>
    <t>rad/s</t>
  </si>
  <si>
    <t>初期角速度 (ロール)</t>
  </si>
  <si>
    <t>初期角速度 (ピッチ)</t>
  </si>
  <si>
    <t>r_init</t>
  </si>
  <si>
    <t>初期角速度 (ヨー)</t>
  </si>
  <si>
    <t>phi_init_deg</t>
  </si>
  <si>
    <t>deg</t>
  </si>
  <si>
    <t>初期姿勢 (ロール角)</t>
  </si>
  <si>
    <t>初期姿勢 (ピッチ角)</t>
  </si>
  <si>
    <t>psi_init_deg</t>
  </si>
  <si>
    <t>初期姿勢 (ヨー角)</t>
  </si>
  <si>
    <t>初期位置 (慣性X軸)</t>
  </si>
  <si>
    <t>y_init</t>
  </si>
  <si>
    <t>初期位置 (慣性Y軸)</t>
  </si>
  <si>
    <t>初期高度 (慣性Z軸、上向き正)</t>
  </si>
  <si>
    <t>r_center</t>
  </si>
  <si>
    <t>m^2</t>
    <phoneticPr fontId="1"/>
  </si>
  <si>
    <r>
      <rPr>
        <sz val="10"/>
        <color rgb="FF000000"/>
        <rFont val="ＭＳ ゴシック"/>
        <family val="3"/>
        <charset val="128"/>
      </rPr>
      <t>ペイロードの抗力係数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游ゴシック"/>
        <family val="2"/>
        <charset val="128"/>
      </rPr>
      <t>空気抵抗を考慮しない場合0</t>
    </r>
    <r>
      <rPr>
        <sz val="10"/>
        <color rgb="FF000000"/>
        <rFont val="Arial"/>
        <family val="2"/>
        <scheme val="minor"/>
      </rPr>
      <t>)</t>
    </r>
    <rPh sb="11" eb="15">
      <t>クウキテイコウ</t>
    </rPh>
    <rPh sb="16" eb="18">
      <t>コウリョ</t>
    </rPh>
    <rPh sb="21" eb="23">
      <t>バアイ</t>
    </rPh>
    <phoneticPr fontId="1"/>
  </si>
  <si>
    <t>S_p</t>
  </si>
  <si>
    <t>キャノピーの投影面積 (他の値からの計算で求める)</t>
  </si>
  <si>
    <t>コントロールラインの距離 (後縁を引き下げることができる)</t>
  </si>
  <si>
    <t>海面高度での空気密度 (初期値、動的に更新される)</t>
  </si>
  <si>
    <t>キャノピーの厚さ (仮)</t>
  </si>
  <si>
    <t>キャノピー端部のケーブル半径</t>
  </si>
  <si>
    <t>キャノピー中心部のケーブル半径</t>
  </si>
  <si>
    <t>揚力係数 (ゼロ迎角)</t>
  </si>
  <si>
    <t>/rad</t>
  </si>
  <si>
    <t>揚力係数 (迎角依存)</t>
  </si>
  <si>
    <t>揚力係数 (アシンメトリック入力)</t>
  </si>
  <si>
    <t>揚力係数 (シンメトリック入力)</t>
  </si>
  <si>
    <t>抗力係数 (ゼロ揚力)</t>
  </si>
  <si>
    <t>/rad^2</t>
  </si>
  <si>
    <t>抗力係数 (迎角二乗依存)</t>
  </si>
  <si>
    <t>C_D_delta_a</t>
  </si>
  <si>
    <t>抗力係数 (エルロン依存)</t>
  </si>
  <si>
    <t>C_D_delta_s</t>
  </si>
  <si>
    <t>抗力係数 (フラップ依存)</t>
  </si>
  <si>
    <t>横力係数 (横滑り角依存)</t>
  </si>
  <si>
    <t>ピッチングモーメント係数 (ゼロ迎角)</t>
  </si>
  <si>
    <t>ピッチングモーメント係数 (迎角依存)</t>
  </si>
  <si>
    <t>ピッチングモーメント係数 (ピッチレート依存)</t>
  </si>
  <si>
    <t>ローリングモーメント係数 (バンク角依存)</t>
  </si>
  <si>
    <t>ローリングモーメント係数 (ロールレート依存)</t>
  </si>
  <si>
    <t>ローリングモーメント係数 (エルロン依存)</t>
  </si>
  <si>
    <t>ヨーイングモーメント係数 (ヨーレート依存)</t>
  </si>
  <si>
    <t>ヨーイングモーメント係数 (エルロン依存)</t>
  </si>
  <si>
    <t>Parameter</t>
    <phoneticPr fontId="1"/>
  </si>
  <si>
    <t>Value</t>
    <phoneticPr fontId="1"/>
  </si>
  <si>
    <t>fir_x_goal</t>
    <phoneticPr fontId="1"/>
  </si>
  <si>
    <t>fir_y_goal</t>
    <phoneticPr fontId="1"/>
  </si>
  <si>
    <t>fir_z_goal</t>
    <phoneticPr fontId="1"/>
  </si>
  <si>
    <t>landing_x</t>
    <phoneticPr fontId="1"/>
  </si>
  <si>
    <t>landing_y</t>
    <phoneticPr fontId="1"/>
  </si>
  <si>
    <t>推測</t>
    <rPh sb="0" eb="2">
      <t>スイソク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</si>
</sst>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游ゴシック"/>
      <family val="2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0" fillId="2" borderId="0" xfId="0" applyFill="1"/>
    <xf numFmtId="0" fontId="6" fillId="0" borderId="0" xfId="0" applyFo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0" fontId="3" fillId="0" borderId="1" xfId="0" applyFont="1" applyBorder="1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zoomScale="89" workbookViewId="0">
      <selection activeCell="E28" sqref="E28"/>
    </sheetView>
  </sheetViews>
  <sheetFormatPr defaultColWidth="12.5703125" defaultRowHeight="15.75" customHeight="1" x14ac:dyDescent="0.2"/>
  <cols>
    <col min="2" max="2" width="7.5703125" customWidth="1"/>
    <col min="4" max="4" width="42.85546875" customWidth="1"/>
    <col min="5" max="5" width="34.140625" customWidth="1"/>
  </cols>
  <sheetData>
    <row r="1" spans="1:5" ht="15.75" customHeight="1" thickBot="1" x14ac:dyDescent="0.25">
      <c r="A1" s="2" t="s">
        <v>0</v>
      </c>
      <c r="B1" s="2" t="s">
        <v>1</v>
      </c>
      <c r="C1" s="2" t="s">
        <v>25</v>
      </c>
      <c r="D1" s="2" t="s">
        <v>2</v>
      </c>
      <c r="E1" s="2"/>
    </row>
    <row r="2" spans="1:5" ht="15.75" customHeight="1" thickBot="1" x14ac:dyDescent="0.25">
      <c r="A2" s="2" t="s">
        <v>28</v>
      </c>
      <c r="B2" s="3">
        <v>0.5</v>
      </c>
      <c r="C2" s="2" t="s">
        <v>29</v>
      </c>
      <c r="D2" s="4" t="s">
        <v>30</v>
      </c>
      <c r="E2" s="2"/>
    </row>
    <row r="3" spans="1:5" ht="15.75" customHeight="1" thickBot="1" x14ac:dyDescent="0.25">
      <c r="A3" s="2" t="s">
        <v>3</v>
      </c>
      <c r="B3" s="3">
        <v>9.8070000000000004</v>
      </c>
      <c r="C3" s="2" t="s">
        <v>26</v>
      </c>
      <c r="D3" s="2" t="s">
        <v>27</v>
      </c>
      <c r="E3" s="2"/>
    </row>
    <row r="4" spans="1:5" ht="15.75" customHeight="1" thickBot="1" x14ac:dyDescent="0.25">
      <c r="A4" s="2" t="s">
        <v>84</v>
      </c>
      <c r="B4" s="3">
        <f>B5*B6</f>
        <v>3</v>
      </c>
      <c r="C4" s="2" t="s">
        <v>31</v>
      </c>
      <c r="D4" s="4" t="s">
        <v>85</v>
      </c>
      <c r="E4" s="2"/>
    </row>
    <row r="5" spans="1:5" ht="15.75" customHeight="1" thickBot="1" x14ac:dyDescent="0.25">
      <c r="A5" s="2" t="s">
        <v>5</v>
      </c>
      <c r="B5" s="3">
        <v>3</v>
      </c>
      <c r="C5" s="2" t="s">
        <v>32</v>
      </c>
      <c r="D5" s="4" t="s">
        <v>33</v>
      </c>
      <c r="E5" s="2"/>
    </row>
    <row r="6" spans="1:5" ht="15.75" customHeight="1" thickBot="1" x14ac:dyDescent="0.25">
      <c r="A6" s="2" t="s">
        <v>4</v>
      </c>
      <c r="B6" s="3">
        <v>1</v>
      </c>
      <c r="C6" s="2" t="s">
        <v>32</v>
      </c>
      <c r="D6" s="4" t="s">
        <v>34</v>
      </c>
      <c r="E6" s="2"/>
    </row>
    <row r="7" spans="1:5" ht="15.75" customHeight="1" thickBot="1" x14ac:dyDescent="0.25">
      <c r="A7" s="2" t="s">
        <v>35</v>
      </c>
      <c r="B7" s="3">
        <v>0.1</v>
      </c>
      <c r="C7" s="2" t="s">
        <v>32</v>
      </c>
      <c r="D7" s="4" t="s">
        <v>86</v>
      </c>
      <c r="E7" s="2"/>
    </row>
    <row r="8" spans="1:5" ht="15.75" customHeight="1" thickBot="1" x14ac:dyDescent="0.25">
      <c r="A8" s="2" t="s">
        <v>36</v>
      </c>
      <c r="B8" s="3">
        <v>1.2250000000000001</v>
      </c>
      <c r="C8" s="2" t="s">
        <v>37</v>
      </c>
      <c r="D8" s="4" t="s">
        <v>87</v>
      </c>
      <c r="E8" s="2"/>
    </row>
    <row r="9" spans="1:5" ht="15.75" customHeight="1" thickBot="1" x14ac:dyDescent="0.25">
      <c r="A9" s="2" t="s">
        <v>18</v>
      </c>
      <c r="B9" s="3">
        <v>0.05</v>
      </c>
      <c r="C9" s="2" t="s">
        <v>32</v>
      </c>
      <c r="D9" s="4" t="s">
        <v>88</v>
      </c>
      <c r="E9" s="2"/>
    </row>
    <row r="10" spans="1:5" ht="15.75" customHeight="1" thickBot="1" x14ac:dyDescent="0.25">
      <c r="A10" s="2" t="s">
        <v>17</v>
      </c>
      <c r="B10" s="3">
        <v>1.9</v>
      </c>
      <c r="C10" s="2" t="s">
        <v>32</v>
      </c>
      <c r="D10" s="4" t="s">
        <v>89</v>
      </c>
      <c r="E10" s="2"/>
    </row>
    <row r="11" spans="1:5" ht="15.75" customHeight="1" thickBot="1" x14ac:dyDescent="0.25">
      <c r="A11" s="2" t="s">
        <v>81</v>
      </c>
      <c r="B11" s="3">
        <v>3</v>
      </c>
      <c r="C11" s="2" t="s">
        <v>32</v>
      </c>
      <c r="D11" s="4" t="s">
        <v>90</v>
      </c>
      <c r="E11" s="2" t="s">
        <v>119</v>
      </c>
    </row>
    <row r="12" spans="1:5" ht="15.75" customHeight="1" thickBot="1" x14ac:dyDescent="0.25">
      <c r="A12" s="2"/>
      <c r="B12" s="3"/>
      <c r="C12" s="2"/>
      <c r="D12" s="4"/>
      <c r="E12" s="2"/>
    </row>
    <row r="13" spans="1:5" ht="15.75" customHeight="1" thickBot="1" x14ac:dyDescent="0.25">
      <c r="A13" s="7"/>
      <c r="B13" s="8"/>
      <c r="C13" s="7"/>
      <c r="D13" s="9"/>
      <c r="E13" s="2"/>
    </row>
    <row r="14" spans="1:5" ht="15.75" customHeight="1" thickBot="1" x14ac:dyDescent="0.25">
      <c r="A14" s="7"/>
      <c r="B14" s="8"/>
      <c r="C14" s="7"/>
      <c r="D14" s="9"/>
      <c r="E14" s="2"/>
    </row>
    <row r="15" spans="1:5" ht="15.75" customHeight="1" thickBot="1" x14ac:dyDescent="0.25">
      <c r="A15" s="7"/>
      <c r="B15" s="8"/>
      <c r="C15" s="7"/>
      <c r="D15" s="9"/>
      <c r="E15" s="2"/>
    </row>
    <row r="16" spans="1:5" ht="15.75" customHeight="1" x14ac:dyDescent="0.2">
      <c r="A16" s="1"/>
      <c r="B16" s="1"/>
      <c r="C16" s="1"/>
    </row>
    <row r="17" spans="1:3" ht="15.75" customHeight="1" x14ac:dyDescent="0.2">
      <c r="A17" s="1"/>
      <c r="B17" s="1"/>
      <c r="C17" s="1"/>
    </row>
    <row r="19" spans="1:3" ht="15.75" customHeight="1" x14ac:dyDescent="0.2">
      <c r="A19" s="5"/>
      <c r="B19" s="6"/>
    </row>
    <row r="21" spans="1:3" ht="15.75" customHeight="1" x14ac:dyDescent="0.2">
      <c r="A21" s="10"/>
      <c r="B21" s="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FEB1-94D7-4DD2-A74D-C313596040D2}">
  <dimension ref="A1:E10"/>
  <sheetViews>
    <sheetView workbookViewId="0">
      <selection activeCell="C30" sqref="C30"/>
    </sheetView>
  </sheetViews>
  <sheetFormatPr defaultRowHeight="12.75" x14ac:dyDescent="0.2"/>
  <cols>
    <col min="3" max="3" width="16.140625" customWidth="1"/>
  </cols>
  <sheetData>
    <row r="1" spans="1:5" ht="26.25" thickBot="1" x14ac:dyDescent="0.25">
      <c r="A1" s="2" t="s">
        <v>0</v>
      </c>
      <c r="B1" s="2" t="s">
        <v>1</v>
      </c>
      <c r="C1" s="2" t="s">
        <v>25</v>
      </c>
      <c r="D1" s="2" t="s">
        <v>2</v>
      </c>
      <c r="E1" s="2"/>
    </row>
    <row r="2" spans="1:5" ht="26.25" thickBot="1" x14ac:dyDescent="0.25">
      <c r="A2" s="2" t="s">
        <v>13</v>
      </c>
      <c r="B2" s="3">
        <v>4</v>
      </c>
      <c r="C2" s="2" t="s">
        <v>29</v>
      </c>
      <c r="D2" s="4" t="s">
        <v>42</v>
      </c>
      <c r="E2" s="2"/>
    </row>
    <row r="3" spans="1:5" ht="13.5" thickBot="1" x14ac:dyDescent="0.25">
      <c r="A3" s="2" t="s">
        <v>14</v>
      </c>
      <c r="B3" s="3">
        <v>0</v>
      </c>
      <c r="C3" s="2" t="s">
        <v>32</v>
      </c>
      <c r="D3" s="4" t="s">
        <v>43</v>
      </c>
      <c r="E3" s="2"/>
    </row>
    <row r="4" spans="1:5" ht="13.5" thickBot="1" x14ac:dyDescent="0.25">
      <c r="A4" s="2" t="s">
        <v>15</v>
      </c>
      <c r="B4" s="3">
        <v>0</v>
      </c>
      <c r="C4" s="2" t="s">
        <v>32</v>
      </c>
      <c r="D4" s="4" t="s">
        <v>44</v>
      </c>
      <c r="E4" s="2"/>
    </row>
    <row r="5" spans="1:5" ht="13.5" thickBot="1" x14ac:dyDescent="0.25">
      <c r="A5" s="2" t="s">
        <v>16</v>
      </c>
      <c r="B5" s="3">
        <v>0</v>
      </c>
      <c r="C5" s="2" t="s">
        <v>32</v>
      </c>
      <c r="D5" s="4" t="s">
        <v>45</v>
      </c>
      <c r="E5" s="2"/>
    </row>
    <row r="6" spans="1:5" ht="13.5" thickBot="1" x14ac:dyDescent="0.25">
      <c r="A6" s="2" t="s">
        <v>46</v>
      </c>
      <c r="B6" s="3">
        <f>B4*B5</f>
        <v>0</v>
      </c>
      <c r="C6" s="2" t="s">
        <v>82</v>
      </c>
      <c r="D6" s="4" t="s">
        <v>47</v>
      </c>
      <c r="E6" s="2"/>
    </row>
    <row r="7" spans="1:5" ht="17.25" thickBot="1" x14ac:dyDescent="0.25">
      <c r="A7" s="2" t="s">
        <v>48</v>
      </c>
      <c r="B7" s="3">
        <v>0</v>
      </c>
      <c r="C7" s="2" t="s">
        <v>38</v>
      </c>
      <c r="D7" s="11" t="s">
        <v>83</v>
      </c>
      <c r="E7" s="2"/>
    </row>
    <row r="8" spans="1:5" ht="26.25" thickBot="1" x14ac:dyDescent="0.25">
      <c r="A8" s="2" t="s">
        <v>49</v>
      </c>
      <c r="B8" s="3">
        <v>0</v>
      </c>
      <c r="C8" s="2" t="s">
        <v>32</v>
      </c>
      <c r="D8" s="4" t="s">
        <v>50</v>
      </c>
      <c r="E8" s="2"/>
    </row>
    <row r="9" spans="1:5" ht="26.25" thickBot="1" x14ac:dyDescent="0.25">
      <c r="A9" s="2" t="s">
        <v>51</v>
      </c>
      <c r="B9" s="3">
        <v>0</v>
      </c>
      <c r="C9" s="2" t="s">
        <v>32</v>
      </c>
      <c r="D9" s="4" t="s">
        <v>52</v>
      </c>
      <c r="E9" s="2"/>
    </row>
    <row r="10" spans="1:5" ht="26.25" thickBot="1" x14ac:dyDescent="0.25">
      <c r="A10" s="2" t="s">
        <v>53</v>
      </c>
      <c r="B10" s="3">
        <v>0</v>
      </c>
      <c r="C10" s="2" t="s">
        <v>32</v>
      </c>
      <c r="D10" s="4" t="s">
        <v>54</v>
      </c>
      <c r="E10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8E37-5E95-48B6-8C58-29914E7A39EE}">
  <dimension ref="A1:E18"/>
  <sheetViews>
    <sheetView workbookViewId="0">
      <selection activeCell="B11" sqref="B11"/>
    </sheetView>
  </sheetViews>
  <sheetFormatPr defaultRowHeight="12.75" x14ac:dyDescent="0.2"/>
  <sheetData>
    <row r="1" spans="1:5" ht="26.25" thickBot="1" x14ac:dyDescent="0.25">
      <c r="A1" s="2" t="s">
        <v>0</v>
      </c>
      <c r="B1" s="2" t="s">
        <v>1</v>
      </c>
      <c r="C1" s="2" t="s">
        <v>25</v>
      </c>
      <c r="D1" s="2" t="s">
        <v>2</v>
      </c>
      <c r="E1" s="2"/>
    </row>
    <row r="2" spans="1:5" ht="13.5" thickBot="1" x14ac:dyDescent="0.25">
      <c r="A2" s="2" t="s">
        <v>6</v>
      </c>
      <c r="B2" s="3">
        <v>0.5</v>
      </c>
      <c r="C2" s="2" t="s">
        <v>38</v>
      </c>
      <c r="D2" s="4" t="s">
        <v>91</v>
      </c>
      <c r="E2" s="2"/>
    </row>
    <row r="3" spans="1:5" ht="26.25" thickBot="1" x14ac:dyDescent="0.25">
      <c r="A3" s="2" t="s">
        <v>7</v>
      </c>
      <c r="B3" s="3">
        <v>1.7190000000000001</v>
      </c>
      <c r="C3" s="2" t="s">
        <v>92</v>
      </c>
      <c r="D3" s="4" t="s">
        <v>93</v>
      </c>
      <c r="E3" s="2"/>
    </row>
    <row r="4" spans="1:5" ht="26.25" thickBot="1" x14ac:dyDescent="0.25">
      <c r="A4" s="2" t="s">
        <v>40</v>
      </c>
      <c r="B4" s="3">
        <v>1.0000000000000001E-5</v>
      </c>
      <c r="C4" s="2" t="s">
        <v>92</v>
      </c>
      <c r="D4" s="4" t="s">
        <v>94</v>
      </c>
      <c r="E4" s="2"/>
    </row>
    <row r="5" spans="1:5" ht="26.25" thickBot="1" x14ac:dyDescent="0.25">
      <c r="A5" s="2" t="s">
        <v>39</v>
      </c>
      <c r="B5" s="3">
        <v>0</v>
      </c>
      <c r="C5" s="2" t="s">
        <v>92</v>
      </c>
      <c r="D5" s="4" t="s">
        <v>95</v>
      </c>
      <c r="E5" s="2"/>
    </row>
    <row r="6" spans="1:5" ht="13.5" thickBot="1" x14ac:dyDescent="0.25">
      <c r="A6" s="2" t="s">
        <v>8</v>
      </c>
      <c r="B6" s="3">
        <v>0.2</v>
      </c>
      <c r="C6" s="2" t="s">
        <v>38</v>
      </c>
      <c r="D6" s="4" t="s">
        <v>96</v>
      </c>
      <c r="E6" s="2"/>
    </row>
    <row r="7" spans="1:5" ht="26.25" thickBot="1" x14ac:dyDescent="0.25">
      <c r="A7" s="2" t="s">
        <v>9</v>
      </c>
      <c r="B7" s="3">
        <v>0.7</v>
      </c>
      <c r="C7" s="2" t="s">
        <v>97</v>
      </c>
      <c r="D7" s="4" t="s">
        <v>98</v>
      </c>
      <c r="E7" s="2"/>
    </row>
    <row r="8" spans="1:5" ht="26.25" thickBot="1" x14ac:dyDescent="0.25">
      <c r="A8" s="2" t="s">
        <v>99</v>
      </c>
      <c r="B8" s="3">
        <v>1E-4</v>
      </c>
      <c r="C8" s="2" t="s">
        <v>92</v>
      </c>
      <c r="D8" s="4" t="s">
        <v>100</v>
      </c>
      <c r="E8" s="2"/>
    </row>
    <row r="9" spans="1:5" ht="26.25" thickBot="1" x14ac:dyDescent="0.25">
      <c r="A9" s="2" t="s">
        <v>101</v>
      </c>
      <c r="B9" s="3">
        <v>0.57999999999999996</v>
      </c>
      <c r="C9" s="2" t="s">
        <v>92</v>
      </c>
      <c r="D9" s="4" t="s">
        <v>102</v>
      </c>
      <c r="E9" s="2"/>
    </row>
    <row r="10" spans="1:5" ht="13.5" thickBot="1" x14ac:dyDescent="0.25">
      <c r="A10" s="2" t="s">
        <v>41</v>
      </c>
      <c r="B10" s="3">
        <v>-0.4</v>
      </c>
      <c r="C10" s="2" t="s">
        <v>92</v>
      </c>
      <c r="D10" s="4" t="s">
        <v>103</v>
      </c>
    </row>
    <row r="11" spans="1:5" ht="13.5" thickBot="1" x14ac:dyDescent="0.25">
      <c r="A11" s="2" t="s">
        <v>10</v>
      </c>
      <c r="B11" s="3">
        <v>0.13969999999999999</v>
      </c>
      <c r="C11" s="2" t="s">
        <v>38</v>
      </c>
      <c r="D11" s="4" t="s">
        <v>104</v>
      </c>
    </row>
    <row r="12" spans="1:5" ht="26.25" thickBot="1" x14ac:dyDescent="0.25">
      <c r="A12" s="2" t="s">
        <v>11</v>
      </c>
      <c r="B12" s="3">
        <v>-1.4308000000000001</v>
      </c>
      <c r="C12" s="2" t="s">
        <v>92</v>
      </c>
      <c r="D12" s="4" t="s">
        <v>105</v>
      </c>
    </row>
    <row r="13" spans="1:5" ht="13.5" thickBot="1" x14ac:dyDescent="0.25">
      <c r="A13" s="2" t="s">
        <v>12</v>
      </c>
      <c r="B13" s="3">
        <v>-0.22509999999999999</v>
      </c>
      <c r="C13" s="2" t="s">
        <v>92</v>
      </c>
      <c r="D13" s="4" t="s">
        <v>106</v>
      </c>
    </row>
    <row r="14" spans="1:5" ht="13.5" thickBot="1" x14ac:dyDescent="0.25">
      <c r="A14" s="2" t="s">
        <v>55</v>
      </c>
      <c r="B14" s="3">
        <v>-0.04</v>
      </c>
      <c r="C14" s="2" t="s">
        <v>92</v>
      </c>
      <c r="D14" s="4" t="s">
        <v>107</v>
      </c>
    </row>
    <row r="15" spans="1:5" ht="13.5" thickBot="1" x14ac:dyDescent="0.25">
      <c r="A15" s="2" t="s">
        <v>56</v>
      </c>
      <c r="B15" s="3">
        <v>-0.08</v>
      </c>
      <c r="C15" s="2" t="s">
        <v>92</v>
      </c>
      <c r="D15" s="4" t="s">
        <v>108</v>
      </c>
    </row>
    <row r="16" spans="1:5" ht="26.25" thickBot="1" x14ac:dyDescent="0.25">
      <c r="A16" s="2" t="s">
        <v>57</v>
      </c>
      <c r="B16" s="3">
        <v>-1.0000000000000001E-5</v>
      </c>
      <c r="C16" s="2" t="s">
        <v>92</v>
      </c>
      <c r="D16" s="4" t="s">
        <v>109</v>
      </c>
    </row>
    <row r="17" spans="1:4" ht="13.5" thickBot="1" x14ac:dyDescent="0.25">
      <c r="A17" s="2" t="s">
        <v>58</v>
      </c>
      <c r="B17" s="3">
        <v>-1.2E-2</v>
      </c>
      <c r="C17" s="2" t="s">
        <v>92</v>
      </c>
      <c r="D17" s="4" t="s">
        <v>110</v>
      </c>
    </row>
    <row r="18" spans="1:4" ht="26.25" thickBot="1" x14ac:dyDescent="0.25">
      <c r="A18" s="2" t="s">
        <v>59</v>
      </c>
      <c r="B18" s="3">
        <v>-8.0000000000000007E-5</v>
      </c>
      <c r="C18" s="2" t="s">
        <v>92</v>
      </c>
      <c r="D18" s="4" t="s">
        <v>111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3A75-766B-4F3B-8437-B1B64E252930}">
  <dimension ref="A1:D13"/>
  <sheetViews>
    <sheetView workbookViewId="0">
      <selection activeCell="B13" sqref="B13"/>
    </sheetView>
  </sheetViews>
  <sheetFormatPr defaultRowHeight="12.75" x14ac:dyDescent="0.2"/>
  <sheetData>
    <row r="1" spans="1:4" ht="26.25" thickBot="1" x14ac:dyDescent="0.25">
      <c r="A1" s="2" t="s">
        <v>0</v>
      </c>
      <c r="B1" s="2" t="s">
        <v>1</v>
      </c>
      <c r="C1" s="2" t="s">
        <v>25</v>
      </c>
      <c r="D1" s="2" t="s">
        <v>2</v>
      </c>
    </row>
    <row r="2" spans="1:4" ht="13.5" thickBot="1" x14ac:dyDescent="0.25">
      <c r="A2" s="2" t="s">
        <v>21</v>
      </c>
      <c r="B2" s="3">
        <v>33.340000000000003</v>
      </c>
      <c r="C2" s="2" t="s">
        <v>60</v>
      </c>
      <c r="D2" s="4" t="s">
        <v>61</v>
      </c>
    </row>
    <row r="3" spans="1:4" ht="13.5" thickBot="1" x14ac:dyDescent="0.25">
      <c r="A3" s="2" t="s">
        <v>62</v>
      </c>
      <c r="B3" s="3">
        <v>0</v>
      </c>
      <c r="C3" s="2" t="s">
        <v>60</v>
      </c>
      <c r="D3" s="4" t="s">
        <v>63</v>
      </c>
    </row>
    <row r="4" spans="1:4" ht="13.5" thickBot="1" x14ac:dyDescent="0.25">
      <c r="A4" s="2" t="s">
        <v>22</v>
      </c>
      <c r="B4" s="3">
        <v>10.54</v>
      </c>
      <c r="C4" s="2" t="s">
        <v>60</v>
      </c>
      <c r="D4" s="4" t="s">
        <v>64</v>
      </c>
    </row>
    <row r="5" spans="1:4" ht="13.5" thickBot="1" x14ac:dyDescent="0.25">
      <c r="A5" s="2" t="s">
        <v>65</v>
      </c>
      <c r="B5" s="3">
        <v>0</v>
      </c>
      <c r="C5" s="2" t="s">
        <v>66</v>
      </c>
      <c r="D5" s="4" t="s">
        <v>67</v>
      </c>
    </row>
    <row r="6" spans="1:4" ht="13.5" thickBot="1" x14ac:dyDescent="0.25">
      <c r="A6" s="2" t="s">
        <v>23</v>
      </c>
      <c r="B6" s="3">
        <v>0</v>
      </c>
      <c r="C6" s="2" t="s">
        <v>66</v>
      </c>
      <c r="D6" s="4" t="s">
        <v>68</v>
      </c>
    </row>
    <row r="7" spans="1:4" ht="13.5" thickBot="1" x14ac:dyDescent="0.25">
      <c r="A7" s="2" t="s">
        <v>69</v>
      </c>
      <c r="B7" s="3">
        <v>0</v>
      </c>
      <c r="C7" s="2" t="s">
        <v>66</v>
      </c>
      <c r="D7" s="4" t="s">
        <v>70</v>
      </c>
    </row>
    <row r="8" spans="1:4" ht="26.25" thickBot="1" x14ac:dyDescent="0.25">
      <c r="A8" s="2" t="s">
        <v>71</v>
      </c>
      <c r="B8" s="3">
        <v>0</v>
      </c>
      <c r="C8" s="2" t="s">
        <v>72</v>
      </c>
      <c r="D8" s="4" t="s">
        <v>73</v>
      </c>
    </row>
    <row r="9" spans="1:4" ht="26.25" thickBot="1" x14ac:dyDescent="0.25">
      <c r="A9" s="2" t="s">
        <v>24</v>
      </c>
      <c r="B9" s="3">
        <v>0</v>
      </c>
      <c r="C9" s="2" t="s">
        <v>72</v>
      </c>
      <c r="D9" s="4" t="s">
        <v>74</v>
      </c>
    </row>
    <row r="10" spans="1:4" ht="26.25" thickBot="1" x14ac:dyDescent="0.25">
      <c r="A10" s="2" t="s">
        <v>75</v>
      </c>
      <c r="B10" s="3">
        <v>0</v>
      </c>
      <c r="C10" s="2" t="s">
        <v>72</v>
      </c>
      <c r="D10" s="4" t="s">
        <v>76</v>
      </c>
    </row>
    <row r="11" spans="1:4" ht="13.5" thickBot="1" x14ac:dyDescent="0.25">
      <c r="A11" s="2" t="s">
        <v>19</v>
      </c>
      <c r="B11" s="3">
        <v>0</v>
      </c>
      <c r="C11" s="2" t="s">
        <v>32</v>
      </c>
      <c r="D11" s="4" t="s">
        <v>77</v>
      </c>
    </row>
    <row r="12" spans="1:4" ht="13.5" thickBot="1" x14ac:dyDescent="0.25">
      <c r="A12" s="2" t="s">
        <v>78</v>
      </c>
      <c r="B12" s="3">
        <v>0</v>
      </c>
      <c r="C12" s="2" t="s">
        <v>32</v>
      </c>
      <c r="D12" s="4" t="s">
        <v>79</v>
      </c>
    </row>
    <row r="13" spans="1:4" ht="13.5" thickBot="1" x14ac:dyDescent="0.25">
      <c r="A13" s="2" t="s">
        <v>20</v>
      </c>
      <c r="B13" s="3">
        <v>13000</v>
      </c>
      <c r="C13" s="2" t="s">
        <v>32</v>
      </c>
      <c r="D13" s="4" t="s">
        <v>80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F215-0A2E-465A-9F87-58854EF309CC}">
  <dimension ref="A1:B6"/>
  <sheetViews>
    <sheetView workbookViewId="0">
      <selection activeCell="C4" sqref="C4"/>
    </sheetView>
  </sheetViews>
  <sheetFormatPr defaultRowHeight="12.75" x14ac:dyDescent="0.2"/>
  <sheetData>
    <row r="1" spans="1:2" x14ac:dyDescent="0.2">
      <c r="A1" s="12" t="s">
        <v>112</v>
      </c>
      <c r="B1" s="12" t="s">
        <v>113</v>
      </c>
    </row>
    <row r="2" spans="1:2" x14ac:dyDescent="0.2">
      <c r="A2" s="12" t="s">
        <v>114</v>
      </c>
      <c r="B2">
        <v>500</v>
      </c>
    </row>
    <row r="3" spans="1:2" x14ac:dyDescent="0.2">
      <c r="A3" s="12" t="s">
        <v>115</v>
      </c>
      <c r="B3">
        <v>500</v>
      </c>
    </row>
    <row r="4" spans="1:2" x14ac:dyDescent="0.2">
      <c r="A4" s="12" t="s">
        <v>116</v>
      </c>
      <c r="B4">
        <v>150</v>
      </c>
    </row>
    <row r="5" spans="1:2" x14ac:dyDescent="0.2">
      <c r="A5" s="12" t="s">
        <v>117</v>
      </c>
      <c r="B5">
        <v>0</v>
      </c>
    </row>
    <row r="6" spans="1:2" x14ac:dyDescent="0.2">
      <c r="A6" s="12" t="s">
        <v>118</v>
      </c>
      <c r="B6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e138aa-6f19-4d02-b86a-e6a2d8c0e9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F7D9BA8929324EB97F873A69292815" ma:contentTypeVersion="19" ma:contentTypeDescription="新しいドキュメントを作成します。" ma:contentTypeScope="" ma:versionID="aea5e074c1f4f222acdb9b626de22168">
  <xsd:schema xmlns:xsd="http://www.w3.org/2001/XMLSchema" xmlns:xs="http://www.w3.org/2001/XMLSchema" xmlns:p="http://schemas.microsoft.com/office/2006/metadata/properties" xmlns:ns3="0ae138aa-6f19-4d02-b86a-e6a2d8c0e969" xmlns:ns4="41dd311a-32fe-4768-a9a7-23b12b1a9336" targetNamespace="http://schemas.microsoft.com/office/2006/metadata/properties" ma:root="true" ma:fieldsID="01696f58e9f1cbcdeb76bd970212d6f5" ns3:_="" ns4:_="">
    <xsd:import namespace="0ae138aa-6f19-4d02-b86a-e6a2d8c0e969"/>
    <xsd:import namespace="41dd311a-32fe-4768-a9a7-23b12b1a93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138aa-6f19-4d02-b86a-e6a2d8c0e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311a-32fe-4768-a9a7-23b12b1a933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DA7DB-8CAB-4BF6-A2A0-179165DBF59E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0ae138aa-6f19-4d02-b86a-e6a2d8c0e969"/>
    <ds:schemaRef ds:uri="http://schemas.microsoft.com/office/infopath/2007/PartnerControls"/>
    <ds:schemaRef ds:uri="41dd311a-32fe-4768-a9a7-23b12b1a933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794ED19-4D4D-452E-940B-8AD868D21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C9914E-5197-4C20-A511-9B574674E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e138aa-6f19-4d02-b86a-e6a2d8c0e969"/>
    <ds:schemaRef ds:uri="41dd311a-32fe-4768-a9a7-23b12b1a93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機体パラメータ</vt:lpstr>
      <vt:lpstr>ペイロード</vt:lpstr>
      <vt:lpstr>空力係数</vt:lpstr>
      <vt:lpstr>初期条件</vt:lpstr>
      <vt:lpstr>誘導目標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舟木　悠太</cp:lastModifiedBy>
  <dcterms:created xsi:type="dcterms:W3CDTF">2025-08-20T11:24:51Z</dcterms:created>
  <dcterms:modified xsi:type="dcterms:W3CDTF">2025-12-26T12:00:11Z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0x0101007CF7D9BA8929324EB97F873A69292815</vt:lpwstr>
  </property>
</Properties>
</file>