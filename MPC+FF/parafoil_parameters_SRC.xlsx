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op\MATLAB Drive\senior_thesis_MAR\MPC+FF\"/>
    </mc:Choice>
  </mc:AlternateContent>
  <xr:revisionPtr revIDLastSave="0" documentId="13_ncr:1_{1D6F5B87-F15E-432C-81D7-DBC9E06B1F1B}" xr6:coauthVersionLast="47" xr6:coauthVersionMax="47" xr10:uidLastSave="{00000000-0000-0000-0000-000000000000}"/>
  <bookViews>
    <workbookView xWindow="-110" yWindow="-110" windowWidth="21820" windowHeight="13900" firstSheet="2" activeTab="4" xr2:uid="{00000000-000D-0000-FFFF-FFFF00000000}"/>
  </bookViews>
  <sheets>
    <sheet name="スケーリング" sheetId="1" r:id="rId1"/>
    <sheet name="Payload_Model" sheetId="2" r:id="rId2"/>
    <sheet name="Aircraft_Model" sheetId="3" r:id="rId3"/>
    <sheet name="Aero_Coeffs" sheetId="4" r:id="rId4"/>
    <sheet name="Simulation_Settings" sheetId="5" r:id="rId5"/>
    <sheet name="Inertia" sheetId="6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2" i="6"/>
  <c r="A2" i="6"/>
  <c r="D2" i="6"/>
  <c r="A3" i="6"/>
  <c r="D3" i="6"/>
  <c r="A4" i="6"/>
  <c r="D4" i="6"/>
  <c r="A5" i="6"/>
  <c r="D5" i="6"/>
  <c r="B1" i="6"/>
  <c r="C1" i="6"/>
  <c r="D1" i="6"/>
  <c r="A1" i="6"/>
  <c r="B28" i="5"/>
  <c r="B1" i="4"/>
  <c r="C1" i="4"/>
  <c r="D1" i="4"/>
  <c r="B2" i="4"/>
  <c r="C2" i="4"/>
  <c r="D2" i="4"/>
  <c r="B3" i="4"/>
  <c r="C3" i="4"/>
  <c r="D3" i="4"/>
  <c r="B4" i="4"/>
  <c r="B5" i="4"/>
  <c r="C5" i="4"/>
  <c r="D5" i="4"/>
  <c r="B6" i="4"/>
  <c r="C6" i="4"/>
  <c r="D6" i="4"/>
  <c r="B7" i="4"/>
  <c r="C7" i="4"/>
  <c r="D7" i="4"/>
  <c r="B8" i="4"/>
  <c r="B9" i="4"/>
  <c r="C9" i="4"/>
  <c r="D9" i="4"/>
  <c r="B10" i="4"/>
  <c r="C10" i="4"/>
  <c r="D10" i="4"/>
  <c r="B11" i="4"/>
  <c r="C11" i="4"/>
  <c r="D11" i="4"/>
  <c r="B12" i="4"/>
  <c r="D12" i="4"/>
  <c r="B13" i="4"/>
  <c r="B14" i="4"/>
  <c r="B15" i="4"/>
  <c r="B16" i="4"/>
  <c r="B17" i="4"/>
  <c r="B18" i="4"/>
  <c r="D18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" i="4"/>
  <c r="B13" i="3"/>
  <c r="B11" i="3"/>
  <c r="B9" i="3"/>
  <c r="B10" i="3"/>
  <c r="B8" i="3"/>
  <c r="B6" i="3"/>
  <c r="B5" i="3"/>
  <c r="B4" i="3"/>
  <c r="B2" i="3"/>
  <c r="B1" i="3"/>
  <c r="C1" i="3"/>
  <c r="D1" i="3"/>
  <c r="C2" i="3"/>
  <c r="D2" i="3"/>
  <c r="B3" i="3"/>
  <c r="C3" i="3"/>
  <c r="D3" i="3"/>
  <c r="C4" i="3"/>
  <c r="D4" i="3"/>
  <c r="C5" i="3"/>
  <c r="D5" i="3"/>
  <c r="C6" i="3"/>
  <c r="D6" i="3"/>
  <c r="B7" i="3"/>
  <c r="C7" i="3"/>
  <c r="D7" i="3"/>
  <c r="C8" i="3"/>
  <c r="D8" i="3"/>
  <c r="C9" i="3"/>
  <c r="D9" i="3"/>
  <c r="C10" i="3"/>
  <c r="D10" i="3"/>
  <c r="C11" i="3"/>
  <c r="D11" i="3"/>
  <c r="B12" i="3"/>
  <c r="C12" i="3"/>
  <c r="D12" i="3"/>
  <c r="C13" i="3"/>
  <c r="D13" i="3"/>
  <c r="A2" i="3"/>
  <c r="A3" i="3"/>
  <c r="A4" i="3"/>
  <c r="A5" i="3"/>
  <c r="A6" i="3"/>
  <c r="A7" i="3"/>
  <c r="A8" i="3"/>
  <c r="A9" i="3"/>
  <c r="A10" i="3"/>
  <c r="A11" i="3"/>
  <c r="A12" i="3"/>
  <c r="A13" i="3"/>
  <c r="A1" i="3"/>
  <c r="B6" i="2"/>
  <c r="B7" i="2"/>
  <c r="B5" i="2"/>
  <c r="B4" i="2"/>
  <c r="B3" i="2"/>
  <c r="B2" i="2"/>
  <c r="B1" i="2"/>
  <c r="C1" i="2"/>
  <c r="D1" i="2"/>
  <c r="C2" i="2"/>
  <c r="D2" i="2"/>
  <c r="C3" i="2"/>
  <c r="D3" i="2"/>
  <c r="C4" i="2"/>
  <c r="D4" i="2"/>
  <c r="C5" i="2"/>
  <c r="D5" i="2"/>
  <c r="C6" i="2"/>
  <c r="D6" i="2"/>
  <c r="C7" i="2"/>
  <c r="D7" i="2"/>
  <c r="A6" i="2"/>
  <c r="A7" i="2"/>
  <c r="A2" i="2"/>
  <c r="A3" i="2"/>
  <c r="A4" i="2"/>
  <c r="A5" i="2"/>
  <c r="A1" i="2"/>
  <c r="D3" i="1"/>
  <c r="C3" i="1"/>
  <c r="D2" i="1"/>
  <c r="C2" i="1"/>
</calcChain>
</file>

<file path=xl/sharedStrings.xml><?xml version="1.0" encoding="utf-8"?>
<sst xmlns="http://schemas.openxmlformats.org/spreadsheetml/2006/main" count="76" uniqueCount="65">
  <si>
    <t>SRC</t>
    <phoneticPr fontId="1"/>
  </si>
  <si>
    <t>参照元</t>
    <rPh sb="0" eb="3">
      <t>サンショウモト</t>
    </rPh>
    <phoneticPr fontId="1"/>
  </si>
  <si>
    <t>比率</t>
    <rPh sb="0" eb="2">
      <t>ヒリツ</t>
    </rPh>
    <phoneticPr fontId="1"/>
  </si>
  <si>
    <t>質量</t>
    <rPh sb="0" eb="2">
      <t>シツリョウ</t>
    </rPh>
    <phoneticPr fontId="1"/>
  </si>
  <si>
    <t>面積</t>
    <rPh sb="0" eb="2">
      <t>メンセキ</t>
    </rPh>
    <phoneticPr fontId="1"/>
  </si>
  <si>
    <t>Parameter</t>
  </si>
  <si>
    <t>Value</t>
  </si>
  <si>
    <t>Unit</t>
  </si>
  <si>
    <t>Description</t>
  </si>
  <si>
    <t>X_initial</t>
  </si>
  <si>
    <t>m</t>
    <phoneticPr fontId="1"/>
  </si>
  <si>
    <t>Y_initial</t>
    <phoneticPr fontId="1"/>
  </si>
  <si>
    <t>psi_initial_deg</t>
    <phoneticPr fontId="1"/>
  </si>
  <si>
    <t>deg</t>
    <phoneticPr fontId="1"/>
  </si>
  <si>
    <t>V_init_guess</t>
    <phoneticPr fontId="1"/>
  </si>
  <si>
    <t>m/s</t>
    <phoneticPr fontId="1"/>
  </si>
  <si>
    <t>速度の推定値</t>
    <rPh sb="0" eb="2">
      <t>ソクド</t>
    </rPh>
    <rPh sb="3" eb="6">
      <t>スイテイチ</t>
    </rPh>
    <phoneticPr fontId="1"/>
  </si>
  <si>
    <t>h_init</t>
  </si>
  <si>
    <t>m</t>
  </si>
  <si>
    <t>初期高度 (釣合い計算用)</t>
  </si>
  <si>
    <t>delta_R_init</t>
    <phoneticPr fontId="1"/>
  </si>
  <si>
    <t>-</t>
  </si>
  <si>
    <t>初期ブレーキ入力 (釣合い計算用)</t>
  </si>
  <si>
    <t>delta_L_init</t>
    <phoneticPr fontId="1"/>
  </si>
  <si>
    <t>t_max</t>
  </si>
  <si>
    <t>s</t>
  </si>
  <si>
    <t>最大シミュレーション時間</t>
  </si>
  <si>
    <t>h_step</t>
  </si>
  <si>
    <t>シミュレーションの時間刻み幅</t>
  </si>
  <si>
    <t>con_type</t>
  </si>
  <si>
    <t>WithoutFF</t>
    <phoneticPr fontId="1"/>
  </si>
  <si>
    <t>string</t>
  </si>
  <si>
    <t>制御モード (WithFF or WithoutFF)</t>
  </si>
  <si>
    <t>tau_delta_a</t>
    <phoneticPr fontId="1"/>
  </si>
  <si>
    <t>バンク角(sigma)の時定数</t>
  </si>
  <si>
    <t>tau_delta_s</t>
  </si>
  <si>
    <t>対称ブレーキ(delta_s)の時定数</t>
  </si>
  <si>
    <t>turn_start_time</t>
  </si>
  <si>
    <t>旋回開始時間</t>
  </si>
  <si>
    <t>turn_end_time</t>
  </si>
  <si>
    <t>旋回終了時間</t>
  </si>
  <si>
    <t>target_delta_a</t>
    <phoneticPr fontId="1"/>
  </si>
  <si>
    <t>-</t>
    <phoneticPr fontId="1"/>
  </si>
  <si>
    <t>目標δa(正だと右ブレーキ→左旋回)</t>
    <rPh sb="5" eb="6">
      <t>セイ</t>
    </rPh>
    <rPh sb="8" eb="9">
      <t>ミギ</t>
    </rPh>
    <rPh sb="14" eb="15">
      <t>ヒダリ</t>
    </rPh>
    <rPh sb="15" eb="17">
      <t>センカイ</t>
    </rPh>
    <phoneticPr fontId="1"/>
  </si>
  <si>
    <t>delta_a_min</t>
    <phoneticPr fontId="1"/>
  </si>
  <si>
    <t>δaの最小値</t>
    <rPh sb="3" eb="6">
      <t>サイショウチ</t>
    </rPh>
    <phoneticPr fontId="1"/>
  </si>
  <si>
    <t>delta_a_max</t>
  </si>
  <si>
    <t>δaの最大値</t>
    <rPh sb="3" eb="6">
      <t>サイダイチ</t>
    </rPh>
    <phoneticPr fontId="1"/>
  </si>
  <si>
    <t>max_bank_deg</t>
    <phoneticPr fontId="1"/>
  </si>
  <si>
    <t>deg</t>
  </si>
  <si>
    <t>最大バンク角 (FFリミッター)</t>
  </si>
  <si>
    <t>brake_start_time</t>
  </si>
  <si>
    <t>ブレーキ開始時間</t>
  </si>
  <si>
    <t>brake_end_time</t>
    <phoneticPr fontId="1"/>
  </si>
  <si>
    <t>ブレーキ終了時間</t>
    <rPh sb="4" eb="6">
      <t>シュウリョウ</t>
    </rPh>
    <phoneticPr fontId="1"/>
  </si>
  <si>
    <t>target_delta_s</t>
    <phoneticPr fontId="1"/>
  </si>
  <si>
    <t>ブレーキ入力 [0-1]</t>
  </si>
  <si>
    <t>delta_s_min</t>
    <phoneticPr fontId="1"/>
  </si>
  <si>
    <t>δsの最小値</t>
    <rPh sb="3" eb="6">
      <t>サイショウチ</t>
    </rPh>
    <phoneticPr fontId="1"/>
  </si>
  <si>
    <t>delta_s_max</t>
    <phoneticPr fontId="1"/>
  </si>
  <si>
    <t>δsの最大値</t>
    <rPh sb="3" eb="6">
      <t>サイダイチ</t>
    </rPh>
    <phoneticPr fontId="1"/>
  </si>
  <si>
    <t>tau_mu</t>
    <phoneticPr fontId="1"/>
  </si>
  <si>
    <t>mu_min_deg</t>
    <phoneticPr fontId="1"/>
  </si>
  <si>
    <t>mu_max_deg</t>
    <phoneticPr fontId="1"/>
  </si>
  <si>
    <t>target_mu_deg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</si>
</sst>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rgb="FFA709F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ta\MATLAB%20Drive\&#23567;&#31520;&#21407;&#30740;_&#31354;&#20013;&#22238;&#21454;\&#32076;&#36335;&#35336;&#30011;&#29992;&#12514;&#12487;&#12523;\parafoil_parameters_ref.xlsx" TargetMode="External"/><Relationship Id="rId1" Type="http://schemas.openxmlformats.org/officeDocument/2006/relationships/externalLinkPath" Target="parafoil_parameters_r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yload_Model (2)"/>
      <sheetName val="Aircraft_Model_origin"/>
      <sheetName val="Inertia"/>
      <sheetName val="Payload_Model"/>
      <sheetName val="Aircraft_Model"/>
      <sheetName val="Aero_Coeffs"/>
      <sheetName val="Simulation_Settings"/>
    </sheetNames>
    <sheetDataSet>
      <sheetData sheetId="0"/>
      <sheetData sheetId="1"/>
      <sheetData sheetId="2">
        <row r="1">
          <cell r="A1" t="str">
            <v>Parameter</v>
          </cell>
          <cell r="B1" t="str">
            <v>Value</v>
          </cell>
          <cell r="C1" t="str">
            <v>Unit</v>
          </cell>
          <cell r="D1" t="str">
            <v>Description</v>
          </cell>
        </row>
        <row r="2">
          <cell r="A2" t="str">
            <v>I_xx</v>
          </cell>
          <cell r="B2">
            <v>4.2299999999999995</v>
          </cell>
          <cell r="D2" t="str">
            <v>全体の慣性モーメント XX [kg m^2]</v>
          </cell>
        </row>
        <row r="3">
          <cell r="A3" t="str">
            <v>I_yy</v>
          </cell>
          <cell r="B3">
            <v>4.01</v>
          </cell>
          <cell r="D3" t="str">
            <v>全体の慣性モーメント YY [kg m^2]</v>
          </cell>
        </row>
        <row r="4">
          <cell r="A4" t="str">
            <v>I_zz</v>
          </cell>
          <cell r="B4">
            <v>0.53</v>
          </cell>
          <cell r="D4" t="str">
            <v>全体の慣性モーメント ZZ [kg m^2]</v>
          </cell>
        </row>
        <row r="5">
          <cell r="A5" t="str">
            <v>I_xz</v>
          </cell>
          <cell r="B5">
            <v>0.3</v>
          </cell>
          <cell r="D5" t="str">
            <v>全体の慣性乗積 XZ [kg m^2]</v>
          </cell>
        </row>
      </sheetData>
      <sheetData sheetId="3">
        <row r="1">
          <cell r="A1" t="str">
            <v>Parameter</v>
          </cell>
          <cell r="B1" t="str">
            <v>Value</v>
          </cell>
          <cell r="C1" t="str">
            <v>Unit</v>
          </cell>
          <cell r="D1" t="str">
            <v>Description</v>
          </cell>
        </row>
        <row r="2">
          <cell r="A2" t="str">
            <v>M_payload</v>
          </cell>
          <cell r="B2">
            <v>4</v>
          </cell>
          <cell r="C2" t="str">
            <v>kg</v>
          </cell>
          <cell r="D2" t="str">
            <v>ペイロードの質量</v>
          </cell>
        </row>
        <row r="3">
          <cell r="A3" t="str">
            <v>S_p</v>
          </cell>
          <cell r="B3">
            <v>3</v>
          </cell>
          <cell r="C3" t="str">
            <v>m^2</v>
          </cell>
          <cell r="D3" t="str">
            <v>ペイロードの基準面積 (旧 S_s)</v>
          </cell>
        </row>
        <row r="4">
          <cell r="A4" t="str">
            <v>C_D_s</v>
          </cell>
          <cell r="B4">
            <v>0</v>
          </cell>
          <cell r="C4" t="str">
            <v>-</v>
          </cell>
          <cell r="D4" t="str">
            <v>ペイロードの抗力係数</v>
          </cell>
        </row>
        <row r="5">
          <cell r="A5" t="str">
            <v>delta_x_pay</v>
          </cell>
          <cell r="B5">
            <v>0</v>
          </cell>
          <cell r="C5" t="str">
            <v>m</v>
          </cell>
          <cell r="D5" t="str">
            <v>ペイロードCG X座標 (r_total_cm_to_payload_cm_B X)</v>
          </cell>
        </row>
        <row r="6">
          <cell r="A6" t="str">
            <v>delta_y_pay</v>
          </cell>
          <cell r="B6">
            <v>0</v>
          </cell>
          <cell r="C6" t="str">
            <v>m</v>
          </cell>
          <cell r="D6" t="str">
            <v>ペイロードCG Y座標 (r_total_cm_to_payload_cm_B Y)</v>
          </cell>
        </row>
        <row r="7">
          <cell r="A7" t="str">
            <v>delta_z_pay</v>
          </cell>
          <cell r="B7">
            <v>0.21666666666666667</v>
          </cell>
          <cell r="C7" t="str">
            <v>m</v>
          </cell>
          <cell r="D7" t="str">
            <v>ペイロードCG Z座標 (r_total_cm_to_payload_cm_B Z)</v>
          </cell>
        </row>
      </sheetData>
      <sheetData sheetId="4">
        <row r="1">
          <cell r="A1" t="str">
            <v>Parameter</v>
          </cell>
          <cell r="B1" t="str">
            <v>Value</v>
          </cell>
          <cell r="C1" t="str">
            <v>Unit</v>
          </cell>
          <cell r="D1" t="str">
            <v>Description</v>
          </cell>
        </row>
        <row r="2">
          <cell r="A2" t="str">
            <v>M_canopy</v>
          </cell>
          <cell r="B2">
            <v>0.5</v>
          </cell>
          <cell r="C2" t="str">
            <v>kg</v>
          </cell>
          <cell r="D2" t="str">
            <v>キャノピーの質量</v>
          </cell>
        </row>
        <row r="3">
          <cell r="A3" t="str">
            <v>g</v>
          </cell>
          <cell r="B3">
            <v>9.8070000000000004</v>
          </cell>
          <cell r="C3" t="str">
            <v>m/s^2</v>
          </cell>
          <cell r="D3" t="str">
            <v>重力加速度</v>
          </cell>
        </row>
        <row r="4">
          <cell r="A4" t="str">
            <v>S_c</v>
          </cell>
          <cell r="B4">
            <v>3</v>
          </cell>
          <cell r="C4" t="str">
            <v>m^2</v>
          </cell>
          <cell r="D4" t="str">
            <v>キャノピーの基準面積 (旧 S_p)</v>
          </cell>
        </row>
        <row r="5">
          <cell r="A5" t="str">
            <v>b</v>
          </cell>
          <cell r="B5">
            <v>3</v>
          </cell>
          <cell r="C5" t="str">
            <v>m</v>
          </cell>
          <cell r="D5" t="str">
            <v>キャノピーのスパン</v>
          </cell>
        </row>
        <row r="6">
          <cell r="A6" t="str">
            <v>c</v>
          </cell>
          <cell r="B6">
            <v>1</v>
          </cell>
          <cell r="C6" t="str">
            <v>m</v>
          </cell>
          <cell r="D6" t="str">
            <v>キャノピーの平均コード</v>
          </cell>
        </row>
        <row r="7">
          <cell r="A7" t="str">
            <v>rho_sea_level</v>
          </cell>
          <cell r="B7">
            <v>1.2250000000000001</v>
          </cell>
          <cell r="C7" t="str">
            <v>kg/m^3</v>
          </cell>
          <cell r="D7" t="str">
            <v>海面高度での空気密度 (初期値)</v>
          </cell>
        </row>
        <row r="8">
          <cell r="A8" t="str">
            <v>r_total_cm_to_canopy_origin_B_X</v>
          </cell>
          <cell r="B8">
            <v>0</v>
          </cell>
          <cell r="C8" t="str">
            <v>m</v>
          </cell>
          <cell r="D8" t="str">
            <v>(全体CG -&gt; キャノピー原点) X軸</v>
          </cell>
        </row>
        <row r="9">
          <cell r="A9" t="str">
            <v>r_total_cm_to_canopy_origin_B_Z</v>
          </cell>
          <cell r="B9">
            <v>0</v>
          </cell>
          <cell r="C9" t="str">
            <v>m</v>
          </cell>
          <cell r="D9" t="str">
            <v>(全体CG -&gt; キャノピー原点) Z軸</v>
          </cell>
        </row>
        <row r="10">
          <cell r="A10" t="str">
            <v>r_canopy_origin_to_ac_B_X</v>
          </cell>
          <cell r="B10">
            <v>0</v>
          </cell>
          <cell r="C10" t="str">
            <v>m</v>
          </cell>
          <cell r="D10" t="str">
            <v>(キャノピー原点 -&gt; 空力中心) X軸</v>
          </cell>
        </row>
        <row r="11">
          <cell r="A11" t="str">
            <v>r_canopy_origin_to_ac_B_Z</v>
          </cell>
          <cell r="B11">
            <v>0</v>
          </cell>
          <cell r="C11" t="str">
            <v>m</v>
          </cell>
          <cell r="D11" t="str">
            <v>(キャノピー原点 -&gt; 空力中心) Z軸</v>
          </cell>
        </row>
        <row r="12">
          <cell r="A12" t="str">
            <v>ang_psi_rigging</v>
          </cell>
          <cell r="B12">
            <v>7</v>
          </cell>
          <cell r="C12" t="str">
            <v>deg</v>
          </cell>
          <cell r="D12" t="str">
            <v>リギング角</v>
          </cell>
        </row>
        <row r="13">
          <cell r="A13" t="str">
            <v>d</v>
          </cell>
          <cell r="B13">
            <v>0.1</v>
          </cell>
          <cell r="C13" t="str">
            <v>m</v>
          </cell>
          <cell r="D13" t="str">
            <v>回転中心</v>
          </cell>
        </row>
      </sheetData>
      <sheetData sheetId="5">
        <row r="1">
          <cell r="A1" t="str">
            <v>Parameter</v>
          </cell>
          <cell r="B1" t="str">
            <v>Value</v>
          </cell>
          <cell r="C1" t="str">
            <v>Unit</v>
          </cell>
          <cell r="D1" t="str">
            <v>Description</v>
          </cell>
        </row>
        <row r="2">
          <cell r="A2" t="str">
            <v>C_L_0</v>
          </cell>
          <cell r="B2">
            <v>0.5</v>
          </cell>
          <cell r="C2" t="str">
            <v>-</v>
          </cell>
          <cell r="D2" t="str">
            <v>揚力係数 (ゼロ迎角)</v>
          </cell>
        </row>
        <row r="3">
          <cell r="A3" t="str">
            <v>C_L_alpha</v>
          </cell>
          <cell r="B3">
            <v>1.7190000000000001</v>
          </cell>
          <cell r="C3" t="str">
            <v>/rad</v>
          </cell>
          <cell r="D3" t="str">
            <v>揚力係数 (迎角依存)</v>
          </cell>
        </row>
        <row r="4">
          <cell r="A4" t="str">
            <v>C_L_delta_a</v>
          </cell>
          <cell r="B4">
            <v>1E-4</v>
          </cell>
        </row>
        <row r="5">
          <cell r="A5" t="str">
            <v>C_L_delta_s</v>
          </cell>
          <cell r="B5">
            <v>0</v>
          </cell>
          <cell r="C5" t="str">
            <v>/rad</v>
          </cell>
          <cell r="D5" t="str">
            <v>揚力係数 (シンメトリック入力)</v>
          </cell>
        </row>
        <row r="6">
          <cell r="A6" t="str">
            <v>C_D_0</v>
          </cell>
          <cell r="B6">
            <v>0.2</v>
          </cell>
          <cell r="C6" t="str">
            <v>-</v>
          </cell>
          <cell r="D6" t="str">
            <v>抗力係数 (ゼロ迎力)</v>
          </cell>
        </row>
        <row r="7">
          <cell r="A7" t="str">
            <v>C_D_alpha</v>
          </cell>
          <cell r="B7">
            <v>0.7</v>
          </cell>
          <cell r="C7" t="str">
            <v>/rad^2</v>
          </cell>
          <cell r="D7" t="str">
            <v>抗力係数 (迎角二乗依存)</v>
          </cell>
        </row>
        <row r="8">
          <cell r="A8" t="str">
            <v>C_D_delta_a</v>
          </cell>
          <cell r="B8">
            <v>1E-4</v>
          </cell>
        </row>
        <row r="9">
          <cell r="A9" t="str">
            <v>C_D_delta_s</v>
          </cell>
          <cell r="B9">
            <v>0.57999999999999996</v>
          </cell>
          <cell r="C9" t="str">
            <v>/rad</v>
          </cell>
          <cell r="D9" t="str">
            <v>抗力係数 (フラップ依存)</v>
          </cell>
        </row>
        <row r="10">
          <cell r="A10" t="str">
            <v>C_m_0</v>
          </cell>
          <cell r="B10">
            <v>0.13969999999999999</v>
          </cell>
          <cell r="C10" t="str">
            <v>-</v>
          </cell>
          <cell r="D10" t="str">
            <v>ピッチングモーメント係数 (迎角依存)</v>
          </cell>
        </row>
        <row r="11">
          <cell r="A11" t="str">
            <v>C_m_alpha</v>
          </cell>
          <cell r="B11">
            <v>-1.4308000000000001</v>
          </cell>
          <cell r="C11" t="str">
            <v>/rad</v>
          </cell>
          <cell r="D11" t="str">
            <v>ピッチングモーメント係数 (ゼロ迎角)</v>
          </cell>
        </row>
        <row r="12">
          <cell r="A12" t="str">
            <v>C_m_q</v>
          </cell>
          <cell r="B12">
            <v>-0.22520999999999999</v>
          </cell>
          <cell r="D12" t="str">
            <v>ピッチ減衰係数</v>
          </cell>
        </row>
        <row r="13">
          <cell r="A13" t="str">
            <v>Cl_phi</v>
          </cell>
          <cell r="B13">
            <v>-0.04</v>
          </cell>
        </row>
        <row r="14">
          <cell r="A14" t="str">
            <v>Cl_p</v>
          </cell>
          <cell r="B14">
            <v>-0.08</v>
          </cell>
        </row>
        <row r="15">
          <cell r="A15" t="str">
            <v>Cl_delta_a</v>
          </cell>
          <cell r="B15">
            <v>-1.0000000000000001E-5</v>
          </cell>
        </row>
        <row r="16">
          <cell r="A16" t="str">
            <v>Cn_r</v>
          </cell>
          <cell r="B16">
            <v>-1.2E-2</v>
          </cell>
        </row>
        <row r="17">
          <cell r="A17" t="str">
            <v>Cn_delta_a</v>
          </cell>
          <cell r="B17">
            <v>-8.0000000000000007E-5</v>
          </cell>
        </row>
        <row r="18">
          <cell r="A18" t="str">
            <v>C_Y_beta</v>
          </cell>
          <cell r="B18">
            <v>-0.1</v>
          </cell>
          <cell r="D18" t="str">
            <v>横力係数 (対 横滑り角 beta)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4" sqref="D4"/>
    </sheetView>
  </sheetViews>
  <sheetFormatPr defaultRowHeight="18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191</v>
      </c>
      <c r="C2">
        <f>[1]Payload_Model!$B$2</f>
        <v>4</v>
      </c>
      <c r="D2">
        <f>B2/C2</f>
        <v>47.75</v>
      </c>
    </row>
    <row r="3" spans="1:4">
      <c r="A3" t="s">
        <v>4</v>
      </c>
      <c r="B3">
        <v>32.5</v>
      </c>
      <c r="C3">
        <f>[1]Aircraft_Model!$B$4</f>
        <v>3</v>
      </c>
      <c r="D3">
        <f>SQRT(B3/C3)</f>
        <v>3.2914029430219167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3103-3403-47B6-A1B7-C1B867945501}">
  <dimension ref="A1:D7"/>
  <sheetViews>
    <sheetView workbookViewId="0">
      <selection activeCell="C21" sqref="C21"/>
    </sheetView>
  </sheetViews>
  <sheetFormatPr defaultRowHeight="18"/>
  <sheetData>
    <row r="1" spans="1:4">
      <c r="A1" t="str">
        <f>[1]Payload_Model!A1</f>
        <v>Parameter</v>
      </c>
      <c r="B1" t="str">
        <f>[1]Payload_Model!B1</f>
        <v>Value</v>
      </c>
      <c r="C1" t="str">
        <f>[1]Payload_Model!C1</f>
        <v>Unit</v>
      </c>
      <c r="D1" t="str">
        <f>[1]Payload_Model!D1</f>
        <v>Description</v>
      </c>
    </row>
    <row r="2" spans="1:4">
      <c r="A2" t="str">
        <f>[1]Payload_Model!A2</f>
        <v>M_payload</v>
      </c>
      <c r="B2">
        <f>[1]Payload_Model!B2*スケーリング!D2</f>
        <v>191</v>
      </c>
      <c r="C2" t="str">
        <f>[1]Payload_Model!C2</f>
        <v>kg</v>
      </c>
      <c r="D2" t="str">
        <f>[1]Payload_Model!D2</f>
        <v>ペイロードの質量</v>
      </c>
    </row>
    <row r="3" spans="1:4">
      <c r="A3" t="str">
        <f>[1]Payload_Model!A3</f>
        <v>S_p</v>
      </c>
      <c r="B3">
        <f>[1]Payload_Model!B3*スケーリング!D3^2</f>
        <v>32.5</v>
      </c>
      <c r="C3" t="str">
        <f>[1]Payload_Model!C3</f>
        <v>m^2</v>
      </c>
      <c r="D3" t="str">
        <f>[1]Payload_Model!D3</f>
        <v>ペイロードの基準面積 (旧 S_s)</v>
      </c>
    </row>
    <row r="4" spans="1:4">
      <c r="A4" t="str">
        <f>[1]Payload_Model!A4</f>
        <v>C_D_s</v>
      </c>
      <c r="B4">
        <f>[1]Payload_Model!B4</f>
        <v>0</v>
      </c>
      <c r="C4" t="str">
        <f>[1]Payload_Model!C4</f>
        <v>-</v>
      </c>
      <c r="D4" t="str">
        <f>[1]Payload_Model!D4</f>
        <v>ペイロードの抗力係数</v>
      </c>
    </row>
    <row r="5" spans="1:4">
      <c r="A5" t="str">
        <f>[1]Payload_Model!A5</f>
        <v>delta_x_pay</v>
      </c>
      <c r="B5">
        <f>[1]Payload_Model!B5*スケーリング!$D$3</f>
        <v>0</v>
      </c>
      <c r="C5" t="str">
        <f>[1]Payload_Model!C5</f>
        <v>m</v>
      </c>
      <c r="D5" t="str">
        <f>[1]Payload_Model!D5</f>
        <v>ペイロードCG X座標 (r_total_cm_to_payload_cm_B X)</v>
      </c>
    </row>
    <row r="6" spans="1:4">
      <c r="A6" t="str">
        <f>[1]Payload_Model!A6</f>
        <v>delta_y_pay</v>
      </c>
      <c r="B6">
        <f>[1]Payload_Model!B6*スケーリング!$D$3</f>
        <v>0</v>
      </c>
      <c r="C6" t="str">
        <f>[1]Payload_Model!C6</f>
        <v>m</v>
      </c>
      <c r="D6" t="str">
        <f>[1]Payload_Model!D6</f>
        <v>ペイロードCG Y座標 (r_total_cm_to_payload_cm_B Y)</v>
      </c>
    </row>
    <row r="7" spans="1:4">
      <c r="A7" t="str">
        <f>[1]Payload_Model!A7</f>
        <v>delta_z_pay</v>
      </c>
      <c r="B7">
        <f>[1]Payload_Model!B7*スケーリング!$D$3</f>
        <v>0.71313730432141531</v>
      </c>
      <c r="C7" t="str">
        <f>[1]Payload_Model!C7</f>
        <v>m</v>
      </c>
      <c r="D7" t="str">
        <f>[1]Payload_Model!D7</f>
        <v>ペイロードCG Z座標 (r_total_cm_to_payload_cm_B Z)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663D-93E7-434F-9E08-3FE8C290D270}">
  <dimension ref="A1:D13"/>
  <sheetViews>
    <sheetView workbookViewId="0">
      <selection activeCell="B14" sqref="B14"/>
    </sheetView>
  </sheetViews>
  <sheetFormatPr defaultRowHeight="18"/>
  <sheetData>
    <row r="1" spans="1:4">
      <c r="A1" t="str">
        <f>[1]Aircraft_Model!A1</f>
        <v>Parameter</v>
      </c>
      <c r="B1" t="str">
        <f>[1]Aircraft_Model!B1</f>
        <v>Value</v>
      </c>
      <c r="C1" t="str">
        <f>[1]Aircraft_Model!C1</f>
        <v>Unit</v>
      </c>
      <c r="D1" t="str">
        <f>[1]Aircraft_Model!D1</f>
        <v>Description</v>
      </c>
    </row>
    <row r="2" spans="1:4">
      <c r="A2" t="str">
        <f>[1]Aircraft_Model!A2</f>
        <v>M_canopy</v>
      </c>
      <c r="B2">
        <f>[1]Aircraft_Model!B2*スケーリング!D2</f>
        <v>23.875</v>
      </c>
      <c r="C2" t="str">
        <f>[1]Aircraft_Model!C2</f>
        <v>kg</v>
      </c>
      <c r="D2" t="str">
        <f>[1]Aircraft_Model!D2</f>
        <v>キャノピーの質量</v>
      </c>
    </row>
    <row r="3" spans="1:4">
      <c r="A3" t="str">
        <f>[1]Aircraft_Model!A3</f>
        <v>g</v>
      </c>
      <c r="B3">
        <f>[1]Aircraft_Model!B3</f>
        <v>9.8070000000000004</v>
      </c>
      <c r="C3" t="str">
        <f>[1]Aircraft_Model!C3</f>
        <v>m/s^2</v>
      </c>
      <c r="D3" t="str">
        <f>[1]Aircraft_Model!D3</f>
        <v>重力加速度</v>
      </c>
    </row>
    <row r="4" spans="1:4">
      <c r="A4" t="str">
        <f>[1]Aircraft_Model!A4</f>
        <v>S_c</v>
      </c>
      <c r="B4">
        <f>[1]Aircraft_Model!B4*スケーリング!D3^2</f>
        <v>32.5</v>
      </c>
      <c r="C4" t="str">
        <f>[1]Aircraft_Model!C4</f>
        <v>m^2</v>
      </c>
      <c r="D4" t="str">
        <f>[1]Aircraft_Model!D4</f>
        <v>キャノピーの基準面積 (旧 S_p)</v>
      </c>
    </row>
    <row r="5" spans="1:4">
      <c r="A5" t="str">
        <f>[1]Aircraft_Model!A5</f>
        <v>b</v>
      </c>
      <c r="B5">
        <f>[1]Aircraft_Model!B5*スケーリング!$D$3</f>
        <v>9.8742088290657506</v>
      </c>
      <c r="C5" t="str">
        <f>[1]Aircraft_Model!C5</f>
        <v>m</v>
      </c>
      <c r="D5" t="str">
        <f>[1]Aircraft_Model!D5</f>
        <v>キャノピーのスパン</v>
      </c>
    </row>
    <row r="6" spans="1:4">
      <c r="A6" t="str">
        <f>[1]Aircraft_Model!A6</f>
        <v>c</v>
      </c>
      <c r="B6">
        <f>[1]Aircraft_Model!B6*スケーリング!$D$3</f>
        <v>3.2914029430219167</v>
      </c>
      <c r="C6" t="str">
        <f>[1]Aircraft_Model!C6</f>
        <v>m</v>
      </c>
      <c r="D6" t="str">
        <f>[1]Aircraft_Model!D6</f>
        <v>キャノピーの平均コード</v>
      </c>
    </row>
    <row r="7" spans="1:4">
      <c r="A7" t="str">
        <f>[1]Aircraft_Model!A7</f>
        <v>rho_sea_level</v>
      </c>
      <c r="B7">
        <f>[1]Aircraft_Model!B7</f>
        <v>1.2250000000000001</v>
      </c>
      <c r="C7" t="str">
        <f>[1]Aircraft_Model!C7</f>
        <v>kg/m^3</v>
      </c>
      <c r="D7" t="str">
        <f>[1]Aircraft_Model!D7</f>
        <v>海面高度での空気密度 (初期値)</v>
      </c>
    </row>
    <row r="8" spans="1:4">
      <c r="A8" t="str">
        <f>[1]Aircraft_Model!A8</f>
        <v>r_total_cm_to_canopy_origin_B_X</v>
      </c>
      <c r="B8">
        <f>[1]Aircraft_Model!B8*スケーリング!$D$3</f>
        <v>0</v>
      </c>
      <c r="C8" t="str">
        <f>[1]Aircraft_Model!C8</f>
        <v>m</v>
      </c>
      <c r="D8" t="str">
        <f>[1]Aircraft_Model!D8</f>
        <v>(全体CG -&gt; キャノピー原点) X軸</v>
      </c>
    </row>
    <row r="9" spans="1:4">
      <c r="A9" t="str">
        <f>[1]Aircraft_Model!A9</f>
        <v>r_total_cm_to_canopy_origin_B_Z</v>
      </c>
      <c r="B9">
        <f>[1]Aircraft_Model!B9*スケーリング!$D$3</f>
        <v>0</v>
      </c>
      <c r="C9" t="str">
        <f>[1]Aircraft_Model!C9</f>
        <v>m</v>
      </c>
      <c r="D9" t="str">
        <f>[1]Aircraft_Model!D9</f>
        <v>(全体CG -&gt; キャノピー原点) Z軸</v>
      </c>
    </row>
    <row r="10" spans="1:4">
      <c r="A10" t="str">
        <f>[1]Aircraft_Model!A10</f>
        <v>r_canopy_origin_to_ac_B_X</v>
      </c>
      <c r="B10">
        <f>[1]Aircraft_Model!B10*スケーリング!$D$3</f>
        <v>0</v>
      </c>
      <c r="C10" t="str">
        <f>[1]Aircraft_Model!C10</f>
        <v>m</v>
      </c>
      <c r="D10" t="str">
        <f>[1]Aircraft_Model!D10</f>
        <v>(キャノピー原点 -&gt; 空力中心) X軸</v>
      </c>
    </row>
    <row r="11" spans="1:4">
      <c r="A11" t="str">
        <f>[1]Aircraft_Model!A11</f>
        <v>r_canopy_origin_to_ac_B_Z</v>
      </c>
      <c r="B11">
        <f>[1]Aircraft_Model!B11*スケーリング!$D$3</f>
        <v>0</v>
      </c>
      <c r="C11" t="str">
        <f>[1]Aircraft_Model!C11</f>
        <v>m</v>
      </c>
      <c r="D11" t="str">
        <f>[1]Aircraft_Model!D11</f>
        <v>(キャノピー原点 -&gt; 空力中心) Z軸</v>
      </c>
    </row>
    <row r="12" spans="1:4">
      <c r="A12" t="str">
        <f>[1]Aircraft_Model!A12</f>
        <v>ang_psi_rigging</v>
      </c>
      <c r="B12">
        <f>[1]Aircraft_Model!B12</f>
        <v>7</v>
      </c>
      <c r="C12" t="str">
        <f>[1]Aircraft_Model!C12</f>
        <v>deg</v>
      </c>
      <c r="D12" t="str">
        <f>[1]Aircraft_Model!D12</f>
        <v>リギング角</v>
      </c>
    </row>
    <row r="13" spans="1:4">
      <c r="A13" t="str">
        <f>[1]Aircraft_Model!A13</f>
        <v>d</v>
      </c>
      <c r="B13">
        <f>[1]Aircraft_Model!B13*スケーリング!$D$3</f>
        <v>0.32914029430219172</v>
      </c>
      <c r="C13" t="str">
        <f>[1]Aircraft_Model!C13</f>
        <v>m</v>
      </c>
      <c r="D13" t="str">
        <f>[1]Aircraft_Model!D13</f>
        <v>回転中心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E4BA-972A-4709-B7A7-A6344E34A18B}">
  <dimension ref="A1:D18"/>
  <sheetViews>
    <sheetView workbookViewId="0">
      <selection activeCell="E14" sqref="E14"/>
    </sheetView>
  </sheetViews>
  <sheetFormatPr defaultRowHeight="18"/>
  <sheetData>
    <row r="1" spans="1:4">
      <c r="A1" t="str">
        <f>[1]Aero_Coeffs!A1</f>
        <v>Parameter</v>
      </c>
      <c r="B1" t="str">
        <f>[1]Aero_Coeffs!B1</f>
        <v>Value</v>
      </c>
      <c r="C1" t="str">
        <f>[1]Aero_Coeffs!C1</f>
        <v>Unit</v>
      </c>
      <c r="D1" t="str">
        <f>[1]Aero_Coeffs!D1</f>
        <v>Description</v>
      </c>
    </row>
    <row r="2" spans="1:4">
      <c r="A2" t="str">
        <f>[1]Aero_Coeffs!A2</f>
        <v>C_L_0</v>
      </c>
      <c r="B2">
        <f>[1]Aero_Coeffs!B2</f>
        <v>0.5</v>
      </c>
      <c r="C2" t="str">
        <f>[1]Aero_Coeffs!C2</f>
        <v>-</v>
      </c>
      <c r="D2" t="str">
        <f>[1]Aero_Coeffs!D2</f>
        <v>揚力係数 (ゼロ迎角)</v>
      </c>
    </row>
    <row r="3" spans="1:4">
      <c r="A3" t="str">
        <f>[1]Aero_Coeffs!A3</f>
        <v>C_L_alpha</v>
      </c>
      <c r="B3">
        <f>[1]Aero_Coeffs!B3</f>
        <v>1.7190000000000001</v>
      </c>
      <c r="C3" t="str">
        <f>[1]Aero_Coeffs!C3</f>
        <v>/rad</v>
      </c>
      <c r="D3" t="str">
        <f>[1]Aero_Coeffs!D3</f>
        <v>揚力係数 (迎角依存)</v>
      </c>
    </row>
    <row r="4" spans="1:4">
      <c r="A4" t="str">
        <f>[1]Aero_Coeffs!A4</f>
        <v>C_L_delta_a</v>
      </c>
      <c r="B4">
        <f>[1]Aero_Coeffs!B4</f>
        <v>1E-4</v>
      </c>
    </row>
    <row r="5" spans="1:4">
      <c r="A5" t="str">
        <f>[1]Aero_Coeffs!A5</f>
        <v>C_L_delta_s</v>
      </c>
      <c r="B5">
        <f>[1]Aero_Coeffs!B5</f>
        <v>0</v>
      </c>
      <c r="C5" t="str">
        <f>[1]Aero_Coeffs!C5</f>
        <v>/rad</v>
      </c>
      <c r="D5" t="str">
        <f>[1]Aero_Coeffs!D5</f>
        <v>揚力係数 (シンメトリック入力)</v>
      </c>
    </row>
    <row r="6" spans="1:4">
      <c r="A6" t="str">
        <f>[1]Aero_Coeffs!A6</f>
        <v>C_D_0</v>
      </c>
      <c r="B6">
        <f>[1]Aero_Coeffs!B6</f>
        <v>0.2</v>
      </c>
      <c r="C6" t="str">
        <f>[1]Aero_Coeffs!C6</f>
        <v>-</v>
      </c>
      <c r="D6" t="str">
        <f>[1]Aero_Coeffs!D6</f>
        <v>抗力係数 (ゼロ迎力)</v>
      </c>
    </row>
    <row r="7" spans="1:4">
      <c r="A7" t="str">
        <f>[1]Aero_Coeffs!A7</f>
        <v>C_D_alpha</v>
      </c>
      <c r="B7">
        <f>[1]Aero_Coeffs!B7</f>
        <v>0.7</v>
      </c>
      <c r="C7" t="str">
        <f>[1]Aero_Coeffs!C7</f>
        <v>/rad^2</v>
      </c>
      <c r="D7" t="str">
        <f>[1]Aero_Coeffs!D7</f>
        <v>抗力係数 (迎角二乗依存)</v>
      </c>
    </row>
    <row r="8" spans="1:4">
      <c r="A8" t="str">
        <f>[1]Aero_Coeffs!A8</f>
        <v>C_D_delta_a</v>
      </c>
      <c r="B8">
        <f>[1]Aero_Coeffs!B8</f>
        <v>1E-4</v>
      </c>
    </row>
    <row r="9" spans="1:4">
      <c r="A9" t="str">
        <f>[1]Aero_Coeffs!A9</f>
        <v>C_D_delta_s</v>
      </c>
      <c r="B9">
        <f>[1]Aero_Coeffs!B9</f>
        <v>0.57999999999999996</v>
      </c>
      <c r="C9" t="str">
        <f>[1]Aero_Coeffs!C9</f>
        <v>/rad</v>
      </c>
      <c r="D9" t="str">
        <f>[1]Aero_Coeffs!D9</f>
        <v>抗力係数 (フラップ依存)</v>
      </c>
    </row>
    <row r="10" spans="1:4">
      <c r="A10" t="str">
        <f>[1]Aero_Coeffs!A10</f>
        <v>C_m_0</v>
      </c>
      <c r="B10">
        <f>[1]Aero_Coeffs!B10</f>
        <v>0.13969999999999999</v>
      </c>
      <c r="C10" t="str">
        <f>[1]Aero_Coeffs!C10</f>
        <v>-</v>
      </c>
      <c r="D10" t="str">
        <f>[1]Aero_Coeffs!D10</f>
        <v>ピッチングモーメント係数 (迎角依存)</v>
      </c>
    </row>
    <row r="11" spans="1:4">
      <c r="A11" t="str">
        <f>[1]Aero_Coeffs!A11</f>
        <v>C_m_alpha</v>
      </c>
      <c r="B11">
        <f>[1]Aero_Coeffs!B11</f>
        <v>-1.4308000000000001</v>
      </c>
      <c r="C11" t="str">
        <f>[1]Aero_Coeffs!C11</f>
        <v>/rad</v>
      </c>
      <c r="D11" t="str">
        <f>[1]Aero_Coeffs!D11</f>
        <v>ピッチングモーメント係数 (ゼロ迎角)</v>
      </c>
    </row>
    <row r="12" spans="1:4">
      <c r="A12" t="str">
        <f>[1]Aero_Coeffs!A12</f>
        <v>C_m_q</v>
      </c>
      <c r="B12">
        <f>[1]Aero_Coeffs!B12</f>
        <v>-0.22520999999999999</v>
      </c>
      <c r="D12" t="str">
        <f>[1]Aero_Coeffs!D12</f>
        <v>ピッチ減衰係数</v>
      </c>
    </row>
    <row r="13" spans="1:4">
      <c r="A13" t="str">
        <f>[1]Aero_Coeffs!A13</f>
        <v>Cl_phi</v>
      </c>
      <c r="B13">
        <f>[1]Aero_Coeffs!B13</f>
        <v>-0.04</v>
      </c>
    </row>
    <row r="14" spans="1:4">
      <c r="A14" t="str">
        <f>[1]Aero_Coeffs!A14</f>
        <v>Cl_p</v>
      </c>
      <c r="B14">
        <f>[1]Aero_Coeffs!B14</f>
        <v>-0.08</v>
      </c>
    </row>
    <row r="15" spans="1:4">
      <c r="A15" t="str">
        <f>[1]Aero_Coeffs!A15</f>
        <v>Cl_delta_a</v>
      </c>
      <c r="B15">
        <f>[1]Aero_Coeffs!B15</f>
        <v>-1.0000000000000001E-5</v>
      </c>
    </row>
    <row r="16" spans="1:4">
      <c r="A16" t="str">
        <f>[1]Aero_Coeffs!A16</f>
        <v>Cn_r</v>
      </c>
      <c r="B16">
        <f>[1]Aero_Coeffs!B16</f>
        <v>-1.2E-2</v>
      </c>
    </row>
    <row r="17" spans="1:4">
      <c r="A17" t="str">
        <f>[1]Aero_Coeffs!A17</f>
        <v>Cn_delta_a</v>
      </c>
      <c r="B17">
        <f>[1]Aero_Coeffs!B17</f>
        <v>-8.0000000000000007E-5</v>
      </c>
    </row>
    <row r="18" spans="1:4">
      <c r="A18" t="str">
        <f>[1]Aero_Coeffs!A18</f>
        <v>C_Y_beta</v>
      </c>
      <c r="B18">
        <f>[1]Aero_Coeffs!B18</f>
        <v>-0.1</v>
      </c>
      <c r="D18" t="str">
        <f>[1]Aero_Coeffs!D18</f>
        <v>横力係数 (対 横滑り角 beta)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8AAE-138D-4CEB-A156-F00DA17A0BA4}">
  <dimension ref="A1:D28"/>
  <sheetViews>
    <sheetView tabSelected="1" topLeftCell="A7" workbookViewId="0">
      <selection activeCell="B6" sqref="B6"/>
    </sheetView>
  </sheetViews>
  <sheetFormatPr defaultRowHeight="18"/>
  <cols>
    <col min="1" max="1" width="11.83203125" customWidth="1"/>
  </cols>
  <sheetData>
    <row r="1" spans="1:4">
      <c r="A1" s="1" t="s">
        <v>5</v>
      </c>
      <c r="B1" t="s">
        <v>6</v>
      </c>
      <c r="C1" t="s">
        <v>7</v>
      </c>
      <c r="D1" t="s">
        <v>8</v>
      </c>
    </row>
    <row r="2" spans="1:4">
      <c r="A2" s="2" t="s">
        <v>9</v>
      </c>
      <c r="B2">
        <v>0</v>
      </c>
      <c r="C2" t="s">
        <v>10</v>
      </c>
    </row>
    <row r="3" spans="1:4">
      <c r="A3" s="2" t="s">
        <v>11</v>
      </c>
      <c r="B3">
        <v>0</v>
      </c>
      <c r="C3" t="s">
        <v>10</v>
      </c>
    </row>
    <row r="4" spans="1:4">
      <c r="A4" s="2" t="s">
        <v>12</v>
      </c>
      <c r="B4">
        <v>0</v>
      </c>
      <c r="C4" t="s">
        <v>13</v>
      </c>
    </row>
    <row r="5" spans="1:4">
      <c r="A5" s="2" t="s">
        <v>14</v>
      </c>
      <c r="B5">
        <v>20</v>
      </c>
      <c r="C5" t="s">
        <v>15</v>
      </c>
      <c r="D5" t="s">
        <v>16</v>
      </c>
    </row>
    <row r="6" spans="1:4">
      <c r="A6" t="s">
        <v>17</v>
      </c>
      <c r="B6">
        <v>9400</v>
      </c>
      <c r="C6" t="s">
        <v>18</v>
      </c>
      <c r="D6" t="s">
        <v>19</v>
      </c>
    </row>
    <row r="7" spans="1:4">
      <c r="A7" t="s">
        <v>20</v>
      </c>
      <c r="B7">
        <v>0</v>
      </c>
      <c r="C7" t="s">
        <v>21</v>
      </c>
      <c r="D7" t="s">
        <v>22</v>
      </c>
    </row>
    <row r="8" spans="1:4">
      <c r="A8" t="s">
        <v>23</v>
      </c>
      <c r="B8">
        <v>0</v>
      </c>
      <c r="C8" t="s">
        <v>21</v>
      </c>
      <c r="D8" t="s">
        <v>22</v>
      </c>
    </row>
    <row r="9" spans="1:4">
      <c r="A9" t="s">
        <v>24</v>
      </c>
      <c r="B9">
        <v>200</v>
      </c>
      <c r="C9" t="s">
        <v>25</v>
      </c>
      <c r="D9" t="s">
        <v>26</v>
      </c>
    </row>
    <row r="10" spans="1:4">
      <c r="A10" t="s">
        <v>27</v>
      </c>
      <c r="B10">
        <v>0.1</v>
      </c>
      <c r="C10" t="s">
        <v>25</v>
      </c>
      <c r="D10" t="s">
        <v>28</v>
      </c>
    </row>
    <row r="11" spans="1:4">
      <c r="A11" t="s">
        <v>29</v>
      </c>
      <c r="B11" t="s">
        <v>30</v>
      </c>
      <c r="C11" t="s">
        <v>31</v>
      </c>
      <c r="D11" t="s">
        <v>32</v>
      </c>
    </row>
    <row r="12" spans="1:4">
      <c r="A12" t="s">
        <v>33</v>
      </c>
      <c r="B12">
        <v>3</v>
      </c>
      <c r="C12" t="s">
        <v>25</v>
      </c>
      <c r="D12" t="s">
        <v>34</v>
      </c>
    </row>
    <row r="13" spans="1:4">
      <c r="A13" t="s">
        <v>35</v>
      </c>
      <c r="B13">
        <v>0.5</v>
      </c>
      <c r="C13" t="s">
        <v>25</v>
      </c>
      <c r="D13" t="s">
        <v>36</v>
      </c>
    </row>
    <row r="14" spans="1:4">
      <c r="A14" t="s">
        <v>37</v>
      </c>
      <c r="B14">
        <v>50</v>
      </c>
      <c r="C14" t="s">
        <v>25</v>
      </c>
      <c r="D14" t="s">
        <v>38</v>
      </c>
    </row>
    <row r="15" spans="1:4">
      <c r="A15" t="s">
        <v>39</v>
      </c>
      <c r="B15">
        <v>1500</v>
      </c>
      <c r="C15" t="s">
        <v>25</v>
      </c>
      <c r="D15" t="s">
        <v>40</v>
      </c>
    </row>
    <row r="16" spans="1:4">
      <c r="A16" t="s">
        <v>41</v>
      </c>
      <c r="B16">
        <v>-1</v>
      </c>
      <c r="C16" t="s">
        <v>42</v>
      </c>
      <c r="D16" t="s">
        <v>43</v>
      </c>
    </row>
    <row r="17" spans="1:4">
      <c r="A17" s="2" t="s">
        <v>44</v>
      </c>
      <c r="B17">
        <v>-1</v>
      </c>
      <c r="D17" t="s">
        <v>45</v>
      </c>
    </row>
    <row r="18" spans="1:4">
      <c r="A18" s="2" t="s">
        <v>46</v>
      </c>
      <c r="B18">
        <v>1</v>
      </c>
      <c r="D18" t="s">
        <v>47</v>
      </c>
    </row>
    <row r="19" spans="1:4">
      <c r="A19" t="s">
        <v>48</v>
      </c>
      <c r="B19">
        <v>5</v>
      </c>
      <c r="C19" t="s">
        <v>49</v>
      </c>
      <c r="D19" t="s">
        <v>50</v>
      </c>
    </row>
    <row r="20" spans="1:4">
      <c r="A20" t="s">
        <v>51</v>
      </c>
      <c r="B20">
        <v>300</v>
      </c>
      <c r="C20" t="s">
        <v>25</v>
      </c>
      <c r="D20" t="s">
        <v>52</v>
      </c>
    </row>
    <row r="21" spans="1:4">
      <c r="A21" t="s">
        <v>53</v>
      </c>
      <c r="B21">
        <v>350</v>
      </c>
      <c r="C21" t="s">
        <v>25</v>
      </c>
      <c r="D21" t="s">
        <v>54</v>
      </c>
    </row>
    <row r="22" spans="1:4">
      <c r="A22" t="s">
        <v>55</v>
      </c>
      <c r="B22">
        <v>0.3</v>
      </c>
      <c r="C22" t="s">
        <v>21</v>
      </c>
      <c r="D22" t="s">
        <v>56</v>
      </c>
    </row>
    <row r="23" spans="1:4">
      <c r="A23" s="2" t="s">
        <v>57</v>
      </c>
      <c r="B23">
        <v>0</v>
      </c>
      <c r="D23" t="s">
        <v>58</v>
      </c>
    </row>
    <row r="24" spans="1:4">
      <c r="A24" s="2" t="s">
        <v>59</v>
      </c>
      <c r="B24">
        <v>1</v>
      </c>
      <c r="D24" t="s">
        <v>60</v>
      </c>
    </row>
    <row r="25" spans="1:4">
      <c r="A25" t="s">
        <v>61</v>
      </c>
      <c r="B25">
        <v>2</v>
      </c>
    </row>
    <row r="26" spans="1:4">
      <c r="A26" t="s">
        <v>62</v>
      </c>
      <c r="B26">
        <v>-10</v>
      </c>
    </row>
    <row r="27" spans="1:4">
      <c r="A27" t="s">
        <v>63</v>
      </c>
      <c r="B27">
        <v>10</v>
      </c>
    </row>
    <row r="28" spans="1:4">
      <c r="A28" t="s">
        <v>64</v>
      </c>
      <c r="B28">
        <f>[1]Aircraft_Model!B12</f>
        <v>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9E75-4AB7-43EC-AB53-B297E73948BF}">
  <dimension ref="A1:D5"/>
  <sheetViews>
    <sheetView workbookViewId="0">
      <selection activeCell="B2" sqref="B2"/>
    </sheetView>
  </sheetViews>
  <sheetFormatPr defaultRowHeight="18"/>
  <sheetData>
    <row r="1" spans="1:4">
      <c r="A1" t="str">
        <f>[1]Inertia!A1</f>
        <v>Parameter</v>
      </c>
      <c r="B1" t="str">
        <f>[1]Inertia!B1</f>
        <v>Value</v>
      </c>
      <c r="C1" t="str">
        <f>[1]Inertia!C1</f>
        <v>Unit</v>
      </c>
      <c r="D1" t="str">
        <f>[1]Inertia!D1</f>
        <v>Description</v>
      </c>
    </row>
    <row r="2" spans="1:4">
      <c r="A2" t="str">
        <f>[1]Inertia!A2</f>
        <v>I_xx</v>
      </c>
      <c r="B2">
        <f>[1]Inertia!B2*スケーリング!$D$2*スケーリング!$D$3^2</f>
        <v>2188.1437500000002</v>
      </c>
      <c r="D2" t="str">
        <f>[1]Inertia!D2</f>
        <v>全体の慣性モーメント XX [kg m^2]</v>
      </c>
    </row>
    <row r="3" spans="1:4">
      <c r="A3" t="str">
        <f>[1]Inertia!A3</f>
        <v>I_yy</v>
      </c>
      <c r="B3">
        <f>[1]Inertia!B3*スケーリング!$D$2*スケーリング!$D$3^2</f>
        <v>2074.3395833333334</v>
      </c>
      <c r="D3" t="str">
        <f>[1]Inertia!D3</f>
        <v>全体の慣性モーメント YY [kg m^2]</v>
      </c>
    </row>
    <row r="4" spans="1:4">
      <c r="A4" t="str">
        <f>[1]Inertia!A4</f>
        <v>I_zz</v>
      </c>
      <c r="B4">
        <f>[1]Inertia!B4*スケーリング!$D$2*スケーリング!$D$3^2</f>
        <v>274.16458333333338</v>
      </c>
      <c r="D4" t="str">
        <f>[1]Inertia!D4</f>
        <v>全体の慣性モーメント ZZ [kg m^2]</v>
      </c>
    </row>
    <row r="5" spans="1:4">
      <c r="A5" t="str">
        <f>[1]Inertia!A5</f>
        <v>I_xz</v>
      </c>
      <c r="B5">
        <f>[1]Inertia!B5*スケーリング!$D$2*スケーリング!$D$3^2</f>
        <v>155.1875</v>
      </c>
      <c r="D5" t="str">
        <f>[1]Inertia!D5</f>
        <v>全体の慣性乗積 XZ [kg m^2]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スケーリング</vt:lpstr>
      <vt:lpstr>Payload_Model</vt:lpstr>
      <vt:lpstr>Aircraft_Model</vt:lpstr>
      <vt:lpstr>Aero_Coeffs</vt:lpstr>
      <vt:lpstr>Simulation_Settings</vt:lpstr>
      <vt:lpstr>Inertia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舟木悠太</dc:creator>
  <cp:keywords/>
  <dc:description/>
  <cp:lastModifiedBy>舟木　悠太</cp:lastModifiedBy>
  <cp:revision/>
  <dcterms:created xsi:type="dcterms:W3CDTF">2015-06-05T18:19:34Z</dcterms:created>
  <dcterms:modified xsi:type="dcterms:W3CDTF">2025-12-24T09:55:59Z</dcterms:modified>
  <cp:category/>
  <cp:contentStatus/>
</cp:coreProperties>
</file>