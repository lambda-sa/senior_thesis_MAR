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uta\MATLAB Drive\小笠原研_空中回収\空中回収_無風_パラのみ_δaとδsで制御\"/>
    </mc:Choice>
  </mc:AlternateContent>
  <xr:revisionPtr revIDLastSave="0" documentId="13_ncr:1_{076D1EC0-9A53-4473-AA6C-73251B57DF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ircraft_Model" sheetId="5" r:id="rId1"/>
    <sheet name="Payload_Model" sheetId="2" r:id="rId2"/>
    <sheet name="Aero_Coeffs" sheetId="3" r:id="rId3"/>
    <sheet name="Simulation_Settings" sheetId="4" r:id="rId4"/>
    <sheet name="Aircraft_Model_orig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9" i="1"/>
  <c r="B10" i="1"/>
  <c r="B8" i="1"/>
</calcChain>
</file>

<file path=xl/sharedStrings.xml><?xml version="1.0" encoding="utf-8"?>
<sst xmlns="http://schemas.openxmlformats.org/spreadsheetml/2006/main" count="204" uniqueCount="121">
  <si>
    <t>Parameter</t>
  </si>
  <si>
    <t>Value</t>
  </si>
  <si>
    <t>Unit</t>
  </si>
  <si>
    <t>Description</t>
  </si>
  <si>
    <t>M_canopy</t>
  </si>
  <si>
    <t>kg</t>
  </si>
  <si>
    <t>キャノピーの質量</t>
  </si>
  <si>
    <t>g</t>
  </si>
  <si>
    <t>m/s^2</t>
  </si>
  <si>
    <t>重力加速度</t>
  </si>
  <si>
    <t>S_c</t>
  </si>
  <si>
    <t>m^2</t>
  </si>
  <si>
    <t>キャノピーの基準面積 (旧 S_p)</t>
  </si>
  <si>
    <t>b</t>
  </si>
  <si>
    <t>m</t>
  </si>
  <si>
    <t>キャノピーのスパン</t>
  </si>
  <si>
    <t>c</t>
  </si>
  <si>
    <t>キャノピーの平均コード</t>
  </si>
  <si>
    <t>rho_sea_level</t>
  </si>
  <si>
    <t>kg/m^3</t>
  </si>
  <si>
    <t>海面高度での空気密度 (初期値)</t>
  </si>
  <si>
    <t>r_total_cm_to_canopy_origin_B_X</t>
  </si>
  <si>
    <t>(全体CG -&gt; キャノピー原点) X軸</t>
  </si>
  <si>
    <t>r_total_cm_to_canopy_origin_B_Z</t>
  </si>
  <si>
    <t>(全体CG -&gt; キャノピー原点) Z軸</t>
  </si>
  <si>
    <t>r_canopy_origin_to_ac_B_X</t>
  </si>
  <si>
    <t>(キャノピー原点 -&gt; 空力中心) X軸</t>
  </si>
  <si>
    <t>r_canopy_origin_to_ac_B_Z</t>
  </si>
  <si>
    <t>(キャノピー原点 -&gt; 空力中心) Z軸</t>
  </si>
  <si>
    <t>C_L_0</t>
  </si>
  <si>
    <t>-</t>
  </si>
  <si>
    <t>揚力係数 (ゼロ迎角)</t>
  </si>
  <si>
    <t>C_L_alpha</t>
  </si>
  <si>
    <t>/rad</t>
  </si>
  <si>
    <t>揚力係数 (迎角依存)</t>
  </si>
  <si>
    <t>C_L_delta_s</t>
  </si>
  <si>
    <t>揚力係数 (シンメトリック入力)</t>
  </si>
  <si>
    <t>C_D_0</t>
  </si>
  <si>
    <t>抗力係数 (ゼロ迎力)</t>
  </si>
  <si>
    <t>C_D_alpha</t>
  </si>
  <si>
    <t>/rad^2</t>
  </si>
  <si>
    <t>抗力係数 (迎角二乗依存)</t>
  </si>
  <si>
    <t>C_D_delta_s</t>
  </si>
  <si>
    <t>抗力係数 (フラップ依存)</t>
  </si>
  <si>
    <t>C_m_0</t>
  </si>
  <si>
    <t>ピッチングモーメント係数 (ゼロ迎角)</t>
  </si>
  <si>
    <t>M_payload</t>
  </si>
  <si>
    <t>ペイロードの質量</t>
  </si>
  <si>
    <t>S_p</t>
  </si>
  <si>
    <t>ペイロードの基準面積 (旧 S_s)</t>
  </si>
  <si>
    <t>C_D_s</t>
  </si>
  <si>
    <t>ペイロードの抗力係数</t>
  </si>
  <si>
    <t>delta_x_pay</t>
  </si>
  <si>
    <t>ペイロードCG X座標 (r_total_cm_to_payload_cm_B X)</t>
  </si>
  <si>
    <t>delta_y_pay</t>
  </si>
  <si>
    <t>ペイロードCG Y座標 (r_total_cm_to_payload_cm_B Y)</t>
  </si>
  <si>
    <t>delta_z_pay</t>
  </si>
  <si>
    <t>ペイロードCG Z座標 (r_total_cm_to_payload_cm_B Z)</t>
  </si>
  <si>
    <t>初期高度 (釣合い計算用)</t>
  </si>
  <si>
    <t>delta_s_init</t>
  </si>
  <si>
    <t>初期ブレーキ入力 (釣合い計算用)</t>
  </si>
  <si>
    <t>t_max</t>
  </si>
  <si>
    <t>s</t>
  </si>
  <si>
    <t>最大シミュレーション時間</t>
  </si>
  <si>
    <t>h_step</t>
  </si>
  <si>
    <t>シミュレーションの時間刻み幅</t>
  </si>
  <si>
    <t>string</t>
  </si>
  <si>
    <t>制御モード (WithFF or WithoutFF)</t>
  </si>
  <si>
    <t>tau_delta_s</t>
  </si>
  <si>
    <t>対称ブレーキ(delta_s)の時定数</t>
  </si>
  <si>
    <t>turn_start_time</t>
  </si>
  <si>
    <t>旋回開始時間</t>
  </si>
  <si>
    <t>turn_end_time</t>
  </si>
  <si>
    <t>旋回終了時間</t>
  </si>
  <si>
    <t>deg</t>
  </si>
  <si>
    <t>最大バンク角 (FFリミッター)</t>
  </si>
  <si>
    <t>ブレーキ開始時間</t>
  </si>
  <si>
    <t>ブレーキ継続時間</t>
  </si>
  <si>
    <t>ブレーキ入力 [0-1]</t>
  </si>
  <si>
    <t>con_type</t>
  </si>
  <si>
    <t>WithFF</t>
    <phoneticPr fontId="1"/>
  </si>
  <si>
    <t>deg</t>
    <phoneticPr fontId="1"/>
  </si>
  <si>
    <t>リギング角</t>
    <rPh sb="4" eb="5">
      <t>カク</t>
    </rPh>
    <phoneticPr fontId="1"/>
  </si>
  <si>
    <t>ang_psi_rigging</t>
  </si>
  <si>
    <t>C_m_alpha</t>
    <phoneticPr fontId="1"/>
  </si>
  <si>
    <t>/rad</t>
    <phoneticPr fontId="1"/>
  </si>
  <si>
    <t>ピッチングモーメント係数 (迎角依存)</t>
    <rPh sb="14" eb="18">
      <t>ゲイカクイゾン</t>
    </rPh>
    <phoneticPr fontId="1"/>
  </si>
  <si>
    <t>d</t>
    <phoneticPr fontId="1"/>
  </si>
  <si>
    <t>m</t>
    <phoneticPr fontId="1"/>
  </si>
  <si>
    <t>回転中心</t>
    <rPh sb="0" eb="4">
      <t>カイテンチュウシン</t>
    </rPh>
    <phoneticPr fontId="1"/>
  </si>
  <si>
    <t>Cl_phi</t>
    <phoneticPr fontId="1"/>
  </si>
  <si>
    <t>Cl_p</t>
    <phoneticPr fontId="1"/>
  </si>
  <si>
    <t>Cl_delta_a</t>
    <phoneticPr fontId="1"/>
  </si>
  <si>
    <t>Cn_r</t>
    <phoneticPr fontId="1"/>
  </si>
  <si>
    <t>Cn_delta_a</t>
    <phoneticPr fontId="1"/>
  </si>
  <si>
    <t>記載なし</t>
    <rPh sb="0" eb="2">
      <t>キサイ</t>
    </rPh>
    <phoneticPr fontId="1"/>
  </si>
  <si>
    <t>h_init</t>
    <phoneticPr fontId="1"/>
  </si>
  <si>
    <t>X_initial</t>
  </si>
  <si>
    <t>Y_initial</t>
    <phoneticPr fontId="1"/>
  </si>
  <si>
    <t>psi_initial_deg</t>
    <phoneticPr fontId="1"/>
  </si>
  <si>
    <t>V_init_guess</t>
    <phoneticPr fontId="1"/>
  </si>
  <si>
    <t>m/s</t>
    <phoneticPr fontId="1"/>
  </si>
  <si>
    <t>速度の推定値</t>
    <rPh sb="0" eb="2">
      <t>ソクド</t>
    </rPh>
    <rPh sb="3" eb="6">
      <t>スイテイチ</t>
    </rPh>
    <phoneticPr fontId="1"/>
  </si>
  <si>
    <t>tau_delta_a</t>
    <phoneticPr fontId="1"/>
  </si>
  <si>
    <t>非対称ブレーキ(delta_a)の時定数</t>
    <rPh sb="0" eb="3">
      <t>ヒタイショウ</t>
    </rPh>
    <phoneticPr fontId="1"/>
  </si>
  <si>
    <t>brake_start_time</t>
    <phoneticPr fontId="1"/>
  </si>
  <si>
    <t>target_delta_a</t>
    <phoneticPr fontId="1"/>
  </si>
  <si>
    <t>-</t>
    <phoneticPr fontId="1"/>
  </si>
  <si>
    <t>目標δa(正だと右ブレーキ→左旋回)</t>
    <rPh sb="5" eb="6">
      <t>セイ</t>
    </rPh>
    <rPh sb="8" eb="9">
      <t>ミギ</t>
    </rPh>
    <rPh sb="14" eb="15">
      <t>ヒダリ</t>
    </rPh>
    <rPh sb="15" eb="17">
      <t>センカイ</t>
    </rPh>
    <phoneticPr fontId="1"/>
  </si>
  <si>
    <t>delta_a_min</t>
    <phoneticPr fontId="1"/>
  </si>
  <si>
    <t>δaの最小値</t>
    <rPh sb="3" eb="6">
      <t>サイショウチ</t>
    </rPh>
    <phoneticPr fontId="1"/>
  </si>
  <si>
    <t>delta_a_max</t>
  </si>
  <si>
    <t>δaの最大値</t>
    <rPh sb="3" eb="6">
      <t>サイダイチ</t>
    </rPh>
    <phoneticPr fontId="1"/>
  </si>
  <si>
    <t>max_bank_deg</t>
    <phoneticPr fontId="1"/>
  </si>
  <si>
    <t>delta_s_min</t>
    <phoneticPr fontId="1"/>
  </si>
  <si>
    <t>δsの最小値</t>
    <rPh sb="3" eb="6">
      <t>サイショウチ</t>
    </rPh>
    <phoneticPr fontId="1"/>
  </si>
  <si>
    <t>delta_s_max</t>
    <phoneticPr fontId="1"/>
  </si>
  <si>
    <t>δsの最大値</t>
    <rPh sb="3" eb="6">
      <t>サイダイチ</t>
    </rPh>
    <phoneticPr fontId="1"/>
  </si>
  <si>
    <t>brake_end_time</t>
    <phoneticPr fontId="1"/>
  </si>
  <si>
    <t>target_delta_s</t>
    <phoneticPr fontId="1"/>
  </si>
  <si>
    <t>delta_a_init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</si>
</sst>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A709F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FF4F-C407-4F30-A9F3-1CA3D2FF39D9}">
  <dimension ref="A1:D13"/>
  <sheetViews>
    <sheetView workbookViewId="0">
      <selection activeCell="B12" sqref="B12"/>
    </sheetView>
  </sheetViews>
  <sheetFormatPr defaultRowHeight="18.75"/>
  <cols>
    <col min="2" max="2" width="13.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6.9</v>
      </c>
      <c r="C2" t="s">
        <v>5</v>
      </c>
      <c r="D2" t="s">
        <v>6</v>
      </c>
    </row>
    <row r="3" spans="1:4">
      <c r="A3" t="s">
        <v>7</v>
      </c>
      <c r="B3">
        <v>9.8070000000000004</v>
      </c>
      <c r="C3" t="s">
        <v>8</v>
      </c>
      <c r="D3" t="s">
        <v>9</v>
      </c>
    </row>
    <row r="4" spans="1:4">
      <c r="A4" t="s">
        <v>10</v>
      </c>
      <c r="B4">
        <v>24.97</v>
      </c>
      <c r="C4" t="s">
        <v>11</v>
      </c>
      <c r="D4" t="s">
        <v>12</v>
      </c>
    </row>
    <row r="5" spans="1:4">
      <c r="A5" t="s">
        <v>13</v>
      </c>
      <c r="B5">
        <v>11.18</v>
      </c>
      <c r="C5" t="s">
        <v>14</v>
      </c>
      <c r="D5" t="s">
        <v>15</v>
      </c>
    </row>
    <row r="6" spans="1:4">
      <c r="A6" t="s">
        <v>16</v>
      </c>
      <c r="B6">
        <v>2.23</v>
      </c>
      <c r="C6" t="s">
        <v>14</v>
      </c>
      <c r="D6" t="s">
        <v>17</v>
      </c>
    </row>
    <row r="7" spans="1:4">
      <c r="A7" t="s">
        <v>18</v>
      </c>
      <c r="B7">
        <v>1.2250000000000001</v>
      </c>
      <c r="C7" t="s">
        <v>19</v>
      </c>
      <c r="D7" t="s">
        <v>20</v>
      </c>
    </row>
    <row r="8" spans="1:4">
      <c r="A8" t="s">
        <v>21</v>
      </c>
      <c r="B8">
        <v>0</v>
      </c>
      <c r="C8" t="s">
        <v>14</v>
      </c>
      <c r="D8" t="s">
        <v>22</v>
      </c>
    </row>
    <row r="9" spans="1:4">
      <c r="A9" t="s">
        <v>23</v>
      </c>
      <c r="B9">
        <v>0</v>
      </c>
      <c r="C9" t="s">
        <v>14</v>
      </c>
      <c r="D9" t="s">
        <v>24</v>
      </c>
    </row>
    <row r="10" spans="1:4">
      <c r="A10" t="s">
        <v>25</v>
      </c>
      <c r="B10">
        <v>0</v>
      </c>
      <c r="C10" t="s">
        <v>14</v>
      </c>
      <c r="D10" t="s">
        <v>26</v>
      </c>
    </row>
    <row r="11" spans="1:4">
      <c r="A11" t="s">
        <v>27</v>
      </c>
      <c r="B11">
        <v>0</v>
      </c>
      <c r="C11" t="s">
        <v>14</v>
      </c>
      <c r="D11" t="s">
        <v>28</v>
      </c>
    </row>
    <row r="12" spans="1:4">
      <c r="A12" s="2" t="s">
        <v>83</v>
      </c>
      <c r="B12">
        <v>-7</v>
      </c>
      <c r="C12" t="s">
        <v>81</v>
      </c>
      <c r="D12" t="s">
        <v>82</v>
      </c>
    </row>
    <row r="13" spans="1:4">
      <c r="A13" t="s">
        <v>87</v>
      </c>
      <c r="B13">
        <v>1</v>
      </c>
      <c r="C13" t="s">
        <v>88</v>
      </c>
      <c r="D13" t="s">
        <v>89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7E36-D186-47F3-BB36-2DFD777D2F33}">
  <dimension ref="A1:D7"/>
  <sheetViews>
    <sheetView tabSelected="1" workbookViewId="0">
      <selection activeCell="C9" sqref="C9"/>
    </sheetView>
  </sheetViews>
  <sheetFormatPr defaultRowHeight="18.75"/>
  <cols>
    <col min="1" max="1" width="11.125" customWidth="1"/>
    <col min="2" max="2" width="12.7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46</v>
      </c>
      <c r="B2">
        <v>76.5</v>
      </c>
      <c r="C2" t="s">
        <v>5</v>
      </c>
      <c r="D2" t="s">
        <v>47</v>
      </c>
    </row>
    <row r="3" spans="1:4">
      <c r="A3" t="s">
        <v>48</v>
      </c>
      <c r="B3">
        <v>0.6</v>
      </c>
      <c r="C3" t="s">
        <v>11</v>
      </c>
      <c r="D3" t="s">
        <v>49</v>
      </c>
    </row>
    <row r="4" spans="1:4">
      <c r="A4" t="s">
        <v>50</v>
      </c>
      <c r="B4">
        <v>0</v>
      </c>
      <c r="C4" t="s">
        <v>30</v>
      </c>
      <c r="D4" t="s">
        <v>51</v>
      </c>
    </row>
    <row r="5" spans="1:4">
      <c r="A5" t="s">
        <v>52</v>
      </c>
      <c r="B5">
        <v>0</v>
      </c>
      <c r="C5" t="s">
        <v>14</v>
      </c>
      <c r="D5" t="s">
        <v>53</v>
      </c>
    </row>
    <row r="6" spans="1:4">
      <c r="A6" t="s">
        <v>54</v>
      </c>
      <c r="B6">
        <v>0</v>
      </c>
      <c r="C6" t="s">
        <v>14</v>
      </c>
      <c r="D6" t="s">
        <v>55</v>
      </c>
    </row>
    <row r="7" spans="1:4">
      <c r="A7" t="s">
        <v>56</v>
      </c>
      <c r="B7">
        <f>(6.28+0.5)*Aircraft_Model_origin!B2/(Payload_Model!B2+Aircraft_Model_origin!B2)</f>
        <v>0.56093525179856119</v>
      </c>
      <c r="C7" t="s">
        <v>14</v>
      </c>
      <c r="D7" t="s">
        <v>57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59E4-93E6-42BC-8666-C2D5EDC3E5C8}">
  <dimension ref="A1:F14"/>
  <sheetViews>
    <sheetView zoomScale="84" workbookViewId="0">
      <selection activeCell="B13" sqref="B13"/>
    </sheetView>
  </sheetViews>
  <sheetFormatPr defaultRowHeight="18.75"/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29</v>
      </c>
      <c r="B2">
        <v>0.5</v>
      </c>
      <c r="C2" t="s">
        <v>30</v>
      </c>
      <c r="D2" t="s">
        <v>31</v>
      </c>
    </row>
    <row r="3" spans="1:6">
      <c r="A3" t="s">
        <v>32</v>
      </c>
      <c r="B3">
        <v>3.51</v>
      </c>
      <c r="C3" t="s">
        <v>33</v>
      </c>
      <c r="D3" t="s">
        <v>34</v>
      </c>
    </row>
    <row r="4" spans="1:6">
      <c r="A4" s="3" t="s">
        <v>35</v>
      </c>
      <c r="B4" s="3">
        <v>0</v>
      </c>
      <c r="C4" s="3" t="s">
        <v>33</v>
      </c>
      <c r="D4" s="3" t="s">
        <v>36</v>
      </c>
      <c r="E4" s="3"/>
      <c r="F4" s="3"/>
    </row>
    <row r="5" spans="1:6">
      <c r="A5" t="s">
        <v>37</v>
      </c>
      <c r="B5">
        <v>0.13</v>
      </c>
      <c r="C5" t="s">
        <v>30</v>
      </c>
      <c r="D5" t="s">
        <v>38</v>
      </c>
    </row>
    <row r="6" spans="1:6">
      <c r="A6" t="s">
        <v>39</v>
      </c>
      <c r="B6">
        <v>1.1100000000000001</v>
      </c>
      <c r="C6" t="s">
        <v>40</v>
      </c>
      <c r="D6" t="s">
        <v>41</v>
      </c>
    </row>
    <row r="7" spans="1:6">
      <c r="A7" s="3" t="s">
        <v>42</v>
      </c>
      <c r="B7" s="3">
        <v>0.57999999999999996</v>
      </c>
      <c r="C7" s="3" t="s">
        <v>33</v>
      </c>
      <c r="D7" s="3" t="s">
        <v>43</v>
      </c>
      <c r="E7" s="3"/>
    </row>
    <row r="8" spans="1:6">
      <c r="A8" t="s">
        <v>44</v>
      </c>
      <c r="B8">
        <v>0.19</v>
      </c>
      <c r="C8" t="s">
        <v>30</v>
      </c>
      <c r="D8" t="s">
        <v>86</v>
      </c>
    </row>
    <row r="9" spans="1:6">
      <c r="A9" t="s">
        <v>84</v>
      </c>
      <c r="B9">
        <v>-0.04</v>
      </c>
      <c r="C9" t="s">
        <v>85</v>
      </c>
      <c r="D9" t="s">
        <v>45</v>
      </c>
    </row>
    <row r="10" spans="1:6">
      <c r="A10" t="s">
        <v>90</v>
      </c>
      <c r="B10">
        <v>0</v>
      </c>
      <c r="D10" t="s">
        <v>95</v>
      </c>
    </row>
    <row r="11" spans="1:6">
      <c r="A11" t="s">
        <v>91</v>
      </c>
      <c r="B11">
        <v>0.42</v>
      </c>
    </row>
    <row r="12" spans="1:6">
      <c r="A12" t="s">
        <v>92</v>
      </c>
      <c r="B12">
        <v>0</v>
      </c>
      <c r="D12" t="s">
        <v>95</v>
      </c>
    </row>
    <row r="13" spans="1:6">
      <c r="A13" t="s">
        <v>93</v>
      </c>
      <c r="B13">
        <v>-0.14000000000000001</v>
      </c>
    </row>
    <row r="14" spans="1:6">
      <c r="A14" t="s">
        <v>94</v>
      </c>
      <c r="B14">
        <v>-0.02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8125-88ED-420F-BB77-91E0D1F2F541}">
  <dimension ref="A1:D24"/>
  <sheetViews>
    <sheetView topLeftCell="A4" workbookViewId="0">
      <selection activeCell="M9" sqref="M9"/>
    </sheetView>
  </sheetViews>
  <sheetFormatPr defaultRowHeight="18.75"/>
  <cols>
    <col min="1" max="1" width="11.6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 t="s">
        <v>97</v>
      </c>
      <c r="B2">
        <v>0</v>
      </c>
      <c r="C2" t="s">
        <v>88</v>
      </c>
    </row>
    <row r="3" spans="1:4">
      <c r="A3" s="2" t="s">
        <v>98</v>
      </c>
      <c r="B3">
        <v>0</v>
      </c>
      <c r="C3" t="s">
        <v>88</v>
      </c>
    </row>
    <row r="4" spans="1:4">
      <c r="A4" s="2" t="s">
        <v>99</v>
      </c>
      <c r="B4">
        <v>0</v>
      </c>
      <c r="C4" t="s">
        <v>81</v>
      </c>
    </row>
    <row r="5" spans="1:4">
      <c r="A5" s="2" t="s">
        <v>100</v>
      </c>
      <c r="B5">
        <v>30</v>
      </c>
      <c r="C5" t="s">
        <v>101</v>
      </c>
      <c r="D5" t="s">
        <v>102</v>
      </c>
    </row>
    <row r="6" spans="1:4">
      <c r="A6" t="s">
        <v>96</v>
      </c>
      <c r="B6">
        <v>200</v>
      </c>
      <c r="C6" t="s">
        <v>14</v>
      </c>
      <c r="D6" t="s">
        <v>58</v>
      </c>
    </row>
    <row r="7" spans="1:4">
      <c r="A7" t="s">
        <v>120</v>
      </c>
      <c r="B7">
        <v>0</v>
      </c>
      <c r="C7" t="s">
        <v>30</v>
      </c>
      <c r="D7" t="s">
        <v>60</v>
      </c>
    </row>
    <row r="8" spans="1:4">
      <c r="A8" t="s">
        <v>59</v>
      </c>
      <c r="B8">
        <v>0</v>
      </c>
      <c r="C8" t="s">
        <v>30</v>
      </c>
      <c r="D8" t="s">
        <v>60</v>
      </c>
    </row>
    <row r="9" spans="1:4">
      <c r="A9" t="s">
        <v>61</v>
      </c>
      <c r="B9">
        <v>100</v>
      </c>
      <c r="C9" t="s">
        <v>62</v>
      </c>
      <c r="D9" t="s">
        <v>63</v>
      </c>
    </row>
    <row r="10" spans="1:4">
      <c r="A10" t="s">
        <v>64</v>
      </c>
      <c r="B10">
        <v>0.1</v>
      </c>
      <c r="C10" t="s">
        <v>62</v>
      </c>
      <c r="D10" t="s">
        <v>65</v>
      </c>
    </row>
    <row r="11" spans="1:4">
      <c r="A11" t="s">
        <v>79</v>
      </c>
      <c r="B11" t="s">
        <v>80</v>
      </c>
      <c r="C11" t="s">
        <v>66</v>
      </c>
      <c r="D11" t="s">
        <v>67</v>
      </c>
    </row>
    <row r="12" spans="1:4">
      <c r="A12" t="s">
        <v>103</v>
      </c>
      <c r="B12">
        <v>0.2</v>
      </c>
      <c r="C12" t="s">
        <v>62</v>
      </c>
      <c r="D12" t="s">
        <v>104</v>
      </c>
    </row>
    <row r="13" spans="1:4">
      <c r="A13" t="s">
        <v>68</v>
      </c>
      <c r="B13">
        <v>0.5</v>
      </c>
      <c r="C13" t="s">
        <v>62</v>
      </c>
      <c r="D13" t="s">
        <v>69</v>
      </c>
    </row>
    <row r="14" spans="1:4">
      <c r="A14" t="s">
        <v>70</v>
      </c>
      <c r="B14">
        <v>250</v>
      </c>
      <c r="C14" t="s">
        <v>62</v>
      </c>
      <c r="D14" t="s">
        <v>71</v>
      </c>
    </row>
    <row r="15" spans="1:4">
      <c r="A15" t="s">
        <v>72</v>
      </c>
      <c r="B15">
        <v>300</v>
      </c>
      <c r="C15" t="s">
        <v>62</v>
      </c>
      <c r="D15" t="s">
        <v>73</v>
      </c>
    </row>
    <row r="16" spans="1:4">
      <c r="A16" t="s">
        <v>106</v>
      </c>
      <c r="B16">
        <v>0.3</v>
      </c>
      <c r="C16" t="s">
        <v>107</v>
      </c>
      <c r="D16" t="s">
        <v>108</v>
      </c>
    </row>
    <row r="17" spans="1:4">
      <c r="A17" s="2" t="s">
        <v>109</v>
      </c>
      <c r="B17">
        <v>-1</v>
      </c>
      <c r="D17" t="s">
        <v>110</v>
      </c>
    </row>
    <row r="18" spans="1:4">
      <c r="A18" s="2" t="s">
        <v>111</v>
      </c>
      <c r="B18">
        <v>1</v>
      </c>
      <c r="D18" t="s">
        <v>112</v>
      </c>
    </row>
    <row r="19" spans="1:4">
      <c r="A19" t="s">
        <v>113</v>
      </c>
      <c r="B19">
        <v>30</v>
      </c>
      <c r="C19" t="s">
        <v>74</v>
      </c>
      <c r="D19" t="s">
        <v>75</v>
      </c>
    </row>
    <row r="20" spans="1:4">
      <c r="A20" t="s">
        <v>105</v>
      </c>
      <c r="B20">
        <v>20</v>
      </c>
      <c r="C20" t="s">
        <v>62</v>
      </c>
      <c r="D20" t="s">
        <v>76</v>
      </c>
    </row>
    <row r="21" spans="1:4">
      <c r="A21" t="s">
        <v>118</v>
      </c>
      <c r="B21">
        <v>100</v>
      </c>
      <c r="C21" t="s">
        <v>62</v>
      </c>
      <c r="D21" t="s">
        <v>77</v>
      </c>
    </row>
    <row r="22" spans="1:4">
      <c r="A22" t="s">
        <v>119</v>
      </c>
      <c r="B22">
        <v>1</v>
      </c>
      <c r="C22" t="s">
        <v>30</v>
      </c>
      <c r="D22" t="s">
        <v>78</v>
      </c>
    </row>
    <row r="23" spans="1:4">
      <c r="A23" s="2" t="s">
        <v>114</v>
      </c>
      <c r="B23">
        <v>0</v>
      </c>
      <c r="D23" t="s">
        <v>115</v>
      </c>
    </row>
    <row r="24" spans="1:4">
      <c r="A24" s="2" t="s">
        <v>116</v>
      </c>
      <c r="B24">
        <v>1</v>
      </c>
      <c r="D24" t="s">
        <v>117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O23" sqref="O23:O24"/>
    </sheetView>
  </sheetViews>
  <sheetFormatPr defaultRowHeight="18.75"/>
  <cols>
    <col min="2" max="2" width="13.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6.9</v>
      </c>
      <c r="C2" t="s">
        <v>5</v>
      </c>
      <c r="D2" t="s">
        <v>6</v>
      </c>
    </row>
    <row r="3" spans="1:4">
      <c r="A3" t="s">
        <v>7</v>
      </c>
      <c r="B3">
        <v>9.8070000000000004</v>
      </c>
      <c r="C3" t="s">
        <v>8</v>
      </c>
      <c r="D3" t="s">
        <v>9</v>
      </c>
    </row>
    <row r="4" spans="1:4">
      <c r="A4" t="s">
        <v>10</v>
      </c>
      <c r="B4">
        <v>24.97</v>
      </c>
      <c r="C4" t="s">
        <v>11</v>
      </c>
      <c r="D4" t="s">
        <v>12</v>
      </c>
    </row>
    <row r="5" spans="1:4">
      <c r="A5" t="s">
        <v>13</v>
      </c>
      <c r="B5">
        <v>11.18</v>
      </c>
      <c r="C5" t="s">
        <v>14</v>
      </c>
      <c r="D5" t="s">
        <v>15</v>
      </c>
    </row>
    <row r="6" spans="1:4">
      <c r="A6" t="s">
        <v>16</v>
      </c>
      <c r="B6">
        <v>2.23</v>
      </c>
      <c r="C6" t="s">
        <v>14</v>
      </c>
      <c r="D6" t="s">
        <v>17</v>
      </c>
    </row>
    <row r="7" spans="1:4">
      <c r="A7" t="s">
        <v>18</v>
      </c>
      <c r="B7">
        <v>1.2250000000000001</v>
      </c>
      <c r="C7" t="s">
        <v>19</v>
      </c>
      <c r="D7" t="s">
        <v>20</v>
      </c>
    </row>
    <row r="8" spans="1:4">
      <c r="A8" t="s">
        <v>21</v>
      </c>
      <c r="B8">
        <f>-(B6/2-B13)</f>
        <v>-0.11499999999999999</v>
      </c>
      <c r="C8" t="s">
        <v>14</v>
      </c>
      <c r="D8" t="s">
        <v>22</v>
      </c>
    </row>
    <row r="9" spans="1:4">
      <c r="A9" t="s">
        <v>23</v>
      </c>
      <c r="B9">
        <f>-(6.28+0.5)*Payload_Model!B2/(B2+Payload_Model!B2)</f>
        <v>-6.219064748201439</v>
      </c>
      <c r="C9" t="s">
        <v>14</v>
      </c>
      <c r="D9" t="s">
        <v>24</v>
      </c>
    </row>
    <row r="10" spans="1:4">
      <c r="A10" t="s">
        <v>25</v>
      </c>
      <c r="B10">
        <f>3*B6/4-B13</f>
        <v>0.67249999999999988</v>
      </c>
      <c r="C10" t="s">
        <v>14</v>
      </c>
      <c r="D10" t="s">
        <v>26</v>
      </c>
    </row>
    <row r="11" spans="1:4">
      <c r="A11" t="s">
        <v>27</v>
      </c>
      <c r="B11">
        <v>0</v>
      </c>
      <c r="C11" t="s">
        <v>14</v>
      </c>
      <c r="D11" t="s">
        <v>28</v>
      </c>
    </row>
    <row r="12" spans="1:4">
      <c r="A12" s="2" t="s">
        <v>83</v>
      </c>
      <c r="B12">
        <v>-7</v>
      </c>
      <c r="C12" t="s">
        <v>81</v>
      </c>
      <c r="D12" t="s">
        <v>82</v>
      </c>
    </row>
    <row r="13" spans="1:4">
      <c r="A13" t="s">
        <v>87</v>
      </c>
      <c r="B13">
        <v>1</v>
      </c>
      <c r="C13" t="s">
        <v>88</v>
      </c>
      <c r="D13" t="s">
        <v>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Aircraft_Model</vt:lpstr>
      <vt:lpstr>Payload_Model</vt:lpstr>
      <vt:lpstr>Aero_Coeffs</vt:lpstr>
      <vt:lpstr>Simulation_Settings</vt:lpstr>
      <vt:lpstr>Aircraft_Model_origin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舟木悠太</dc:creator>
  <cp:lastModifiedBy>舟木　悠太</cp:lastModifiedBy>
  <dcterms:created xsi:type="dcterms:W3CDTF">2015-06-05T18:19:34Z</dcterms:created>
  <dcterms:modified xsi:type="dcterms:W3CDTF">2025-11-21T03:10:46Z</dcterms:modified>
</cp:coreProperties>
</file>